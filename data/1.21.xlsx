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Sheet1!$A$1:$AN$163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<sst xmlns="http://schemas.openxmlformats.org/spreadsheetml/2006/main" count="687" uniqueCount="376">
  <si>
    <t>身份证号</t>
  </si>
  <si>
    <t>工作证号</t>
  </si>
  <si>
    <t>部门</t>
  </si>
  <si>
    <t>职级</t>
  </si>
  <si>
    <t>科研平台</t>
  </si>
  <si>
    <t>标志性成果</t>
  </si>
  <si>
    <t>非高质量科研*10</t>
  </si>
  <si>
    <t>高质量科研奖励*40</t>
  </si>
  <si>
    <t>学科建设奖励</t>
  </si>
  <si>
    <t>人事代发</t>
  </si>
  <si>
    <t>招生</t>
  </si>
  <si>
    <t>实验安全、暑假加班</t>
  </si>
  <si>
    <t>院优</t>
  </si>
  <si>
    <t>留学生课酬*75</t>
  </si>
  <si>
    <t>互联网+短学期 *30</t>
  </si>
  <si>
    <t>课程负责人</t>
  </si>
  <si>
    <t>辅助教学工作量*35</t>
  </si>
  <si>
    <t>编著教材奖励</t>
  </si>
  <si>
    <t>竞赛工作量*40</t>
  </si>
  <si>
    <t>工程学院课酬</t>
  </si>
  <si>
    <t>工程学院管理费</t>
  </si>
  <si>
    <t>公选课课酬</t>
  </si>
  <si>
    <t>教研奖励</t>
  </si>
  <si>
    <t>继教论文评审</t>
  </si>
  <si>
    <t xml:space="preserve"> 教学成果奖励*40</t>
  </si>
  <si>
    <t>额外增补工作量*40</t>
  </si>
  <si>
    <t>额外教学增补</t>
  </si>
  <si>
    <t xml:space="preserve">督导工作量
</t>
  </si>
  <si>
    <t>监考</t>
  </si>
  <si>
    <t>院设机构</t>
  </si>
  <si>
    <t>团队负责人</t>
  </si>
  <si>
    <t>双创比赛</t>
  </si>
  <si>
    <t>文体活动*100</t>
  </si>
  <si>
    <t>考勤1500</t>
  </si>
  <si>
    <t>研究生复试</t>
  </si>
  <si>
    <t>研究生盲审</t>
  </si>
  <si>
    <t>研工奖励</t>
  </si>
  <si>
    <t>2024赤字</t>
  </si>
  <si>
    <t>扣除预支绩效</t>
  </si>
  <si>
    <t>合计</t>
  </si>
  <si>
    <t>13112719950822095X</t>
  </si>
  <si>
    <t>20221092</t>
  </si>
  <si>
    <t>辅导员</t>
  </si>
  <si>
    <t>初级</t>
  </si>
  <si>
    <t>420606199802226045</t>
  </si>
  <si>
    <t>20230104</t>
  </si>
  <si>
    <t>130526199610145225</t>
  </si>
  <si>
    <t>20230113</t>
  </si>
  <si>
    <t>420527199807091836</t>
  </si>
  <si>
    <t>20231085</t>
  </si>
  <si>
    <t>20181100</t>
  </si>
  <si>
    <t>大数据与人工智能系</t>
  </si>
  <si>
    <t>610121199207305103</t>
  </si>
  <si>
    <t>20220026</t>
  </si>
  <si>
    <t>智能科学与技术系</t>
  </si>
  <si>
    <t>420800196504176034</t>
  </si>
  <si>
    <t>19861037</t>
  </si>
  <si>
    <t>计算机科学与技术系</t>
  </si>
  <si>
    <t>副高</t>
  </si>
  <si>
    <t>422123196802130016</t>
  </si>
  <si>
    <t>19881049</t>
  </si>
  <si>
    <t>实验</t>
  </si>
  <si>
    <t>420111196609155038</t>
  </si>
  <si>
    <t>19891081</t>
  </si>
  <si>
    <t>420111196706195023</t>
  </si>
  <si>
    <t>19900008</t>
  </si>
  <si>
    <t>422601197007200103</t>
  </si>
  <si>
    <t>19910042</t>
  </si>
  <si>
    <t>行政</t>
  </si>
  <si>
    <t>420625197005120029</t>
  </si>
  <si>
    <t>19910064</t>
  </si>
  <si>
    <t>420106196802244955</t>
  </si>
  <si>
    <t>19911067</t>
  </si>
  <si>
    <t>420111197112185025</t>
  </si>
  <si>
    <t>19920003</t>
  </si>
  <si>
    <t>420111197009245018</t>
  </si>
  <si>
    <t>19921036</t>
  </si>
  <si>
    <t>420104197310130048</t>
  </si>
  <si>
    <t>19940023</t>
  </si>
  <si>
    <t>422223197102090025</t>
  </si>
  <si>
    <t>19940041</t>
  </si>
  <si>
    <t>422201197203040037</t>
  </si>
  <si>
    <t>19941024</t>
  </si>
  <si>
    <t>420111197303205025</t>
  </si>
  <si>
    <t>19950020</t>
  </si>
  <si>
    <t>420121197604220045</t>
  </si>
  <si>
    <t>19960015</t>
  </si>
  <si>
    <t>41292519730813191X</t>
  </si>
  <si>
    <t>19961017</t>
  </si>
  <si>
    <t>420111197407145047</t>
  </si>
  <si>
    <t>19970057</t>
  </si>
  <si>
    <t>420111197512125013</t>
  </si>
  <si>
    <t>19971002</t>
  </si>
  <si>
    <t>420106197701073223</t>
  </si>
  <si>
    <t>19980052</t>
  </si>
  <si>
    <t>软件工程系</t>
  </si>
  <si>
    <t>110108197603306054</t>
  </si>
  <si>
    <t>19981020</t>
  </si>
  <si>
    <t>420111197704075030</t>
  </si>
  <si>
    <t>19991025</t>
  </si>
  <si>
    <t>420122197801150054</t>
  </si>
  <si>
    <t>19991035</t>
  </si>
  <si>
    <t>信息安全系</t>
  </si>
  <si>
    <t>420111196904105025</t>
  </si>
  <si>
    <t>20030003</t>
  </si>
  <si>
    <t>42098419810405032X</t>
  </si>
  <si>
    <t>20030020</t>
  </si>
  <si>
    <t>420106198010284456</t>
  </si>
  <si>
    <t>20031019</t>
  </si>
  <si>
    <t>420105198201260012</t>
  </si>
  <si>
    <t>20041016</t>
  </si>
  <si>
    <t>420523198002110032</t>
  </si>
  <si>
    <t>20051005</t>
  </si>
  <si>
    <t>420111197912065099</t>
  </si>
  <si>
    <t>20061078</t>
  </si>
  <si>
    <t>130403198109280947</t>
  </si>
  <si>
    <t>20070044</t>
  </si>
  <si>
    <t>420117198501070021</t>
  </si>
  <si>
    <t>20110003</t>
  </si>
  <si>
    <t>420111198204127310</t>
  </si>
  <si>
    <t>20121017</t>
  </si>
  <si>
    <t>420111198403014028</t>
  </si>
  <si>
    <t>20130027</t>
  </si>
  <si>
    <t>420106198912233244</t>
  </si>
  <si>
    <t>20130036</t>
  </si>
  <si>
    <t>420103197911043234</t>
  </si>
  <si>
    <t>20131087</t>
  </si>
  <si>
    <t>429006198007140323</t>
  </si>
  <si>
    <t>20140003</t>
  </si>
  <si>
    <t>421202198805190526</t>
  </si>
  <si>
    <t>20150032</t>
  </si>
  <si>
    <t>420111197911214187</t>
  </si>
  <si>
    <t>20160020</t>
  </si>
  <si>
    <t>420107198408113311</t>
  </si>
  <si>
    <t>20171054</t>
  </si>
  <si>
    <t>412821198108287243</t>
  </si>
  <si>
    <t>20180029</t>
  </si>
  <si>
    <t>420503198703172310</t>
  </si>
  <si>
    <t>20181028</t>
  </si>
  <si>
    <t>410185198302026073</t>
  </si>
  <si>
    <t>20191074</t>
  </si>
  <si>
    <t>420203198712202570</t>
  </si>
  <si>
    <t>20191093</t>
  </si>
  <si>
    <t>420525198303100025</t>
  </si>
  <si>
    <t>20200064</t>
  </si>
  <si>
    <t>330402198403280914</t>
  </si>
  <si>
    <t>20201004</t>
  </si>
  <si>
    <t>420102198003051413</t>
  </si>
  <si>
    <t>20201011</t>
  </si>
  <si>
    <t>320923198409168111</t>
  </si>
  <si>
    <t>20201035</t>
  </si>
  <si>
    <t>362202198511025319</t>
  </si>
  <si>
    <t>20201115</t>
  </si>
  <si>
    <t>421281198601300012</t>
  </si>
  <si>
    <t>20211035</t>
  </si>
  <si>
    <t>420102198903080332</t>
  </si>
  <si>
    <t>20211122</t>
  </si>
  <si>
    <t>420106199305314063</t>
  </si>
  <si>
    <t>20220014</t>
  </si>
  <si>
    <t>42098319840901004X</t>
  </si>
  <si>
    <t>20220099</t>
  </si>
  <si>
    <t>370911198610263616</t>
  </si>
  <si>
    <t>20231020</t>
  </si>
  <si>
    <t>412901197809204514</t>
  </si>
  <si>
    <t>20231147</t>
  </si>
  <si>
    <t>420111197711265545</t>
  </si>
  <si>
    <t>19970053</t>
  </si>
  <si>
    <t>422823198510020269</t>
  </si>
  <si>
    <t>20240023</t>
  </si>
  <si>
    <t>420107197903224129</t>
  </si>
  <si>
    <t>20240039</t>
  </si>
  <si>
    <t>新进教师</t>
  </si>
  <si>
    <t>410182199109145316</t>
  </si>
  <si>
    <t>20241021</t>
  </si>
  <si>
    <t>421302199212050472</t>
  </si>
  <si>
    <t>20241026</t>
  </si>
  <si>
    <t>420923200003084915</t>
  </si>
  <si>
    <t>20241028</t>
  </si>
  <si>
    <t>429006199009088711</t>
  </si>
  <si>
    <t>20241032</t>
  </si>
  <si>
    <t>652928199807121292</t>
  </si>
  <si>
    <t>20241066</t>
  </si>
  <si>
    <t>420106199010313610</t>
  </si>
  <si>
    <t>20241110</t>
  </si>
  <si>
    <t>410105199105240030</t>
  </si>
  <si>
    <t>20241134</t>
  </si>
  <si>
    <t>110105196609104134</t>
  </si>
  <si>
    <t>19881034</t>
  </si>
  <si>
    <t>正高</t>
  </si>
  <si>
    <t>420106196704150832</t>
  </si>
  <si>
    <t>19891024</t>
  </si>
  <si>
    <t>420106196911204856</t>
  </si>
  <si>
    <t>19911034</t>
  </si>
  <si>
    <t>420106197612213677</t>
  </si>
  <si>
    <t>19991027</t>
  </si>
  <si>
    <t>420802197807030320</t>
  </si>
  <si>
    <t>20010022</t>
  </si>
  <si>
    <t>42011119790626733X</t>
  </si>
  <si>
    <t>20011032</t>
  </si>
  <si>
    <t>420106198111116021</t>
  </si>
  <si>
    <t>20030033</t>
  </si>
  <si>
    <t>420111197506045519</t>
  </si>
  <si>
    <t>20061003</t>
  </si>
  <si>
    <t>422103197805170012</t>
  </si>
  <si>
    <t>20061082</t>
  </si>
  <si>
    <t>420601197702267017</t>
  </si>
  <si>
    <t>20071014</t>
  </si>
  <si>
    <t>420104198310041664</t>
  </si>
  <si>
    <t>20100021</t>
  </si>
  <si>
    <t>422427197005133739</t>
  </si>
  <si>
    <t>20131014</t>
  </si>
  <si>
    <t>411524198710265161</t>
  </si>
  <si>
    <t>20140106</t>
  </si>
  <si>
    <t>42011119700403502X</t>
  </si>
  <si>
    <t>19890076</t>
  </si>
  <si>
    <t>中级</t>
  </si>
  <si>
    <t>420111197207155021</t>
  </si>
  <si>
    <t>19940051</t>
  </si>
  <si>
    <t>42011119740608502x</t>
  </si>
  <si>
    <t>19970055</t>
  </si>
  <si>
    <t>420111197609114177</t>
  </si>
  <si>
    <t>19991036</t>
  </si>
  <si>
    <t>422801197801090424</t>
  </si>
  <si>
    <t>20000012</t>
  </si>
  <si>
    <t>420202197503090428</t>
  </si>
  <si>
    <t>20000022</t>
  </si>
  <si>
    <t>340404197708080219</t>
  </si>
  <si>
    <t>20001021</t>
  </si>
  <si>
    <t>420606198110041029</t>
  </si>
  <si>
    <t>20020030</t>
  </si>
  <si>
    <t>420683198001200038</t>
  </si>
  <si>
    <t>20021007</t>
  </si>
  <si>
    <t>420106197603124816</t>
  </si>
  <si>
    <t>20021026</t>
  </si>
  <si>
    <t>420106198105213626</t>
  </si>
  <si>
    <t>20030024</t>
  </si>
  <si>
    <t>420104198011060021</t>
  </si>
  <si>
    <t>20030027</t>
  </si>
  <si>
    <t>420107197908194125</t>
  </si>
  <si>
    <t>20040004</t>
  </si>
  <si>
    <t>429005197812180028</t>
  </si>
  <si>
    <t>20040038</t>
  </si>
  <si>
    <t>132301198103070918</t>
  </si>
  <si>
    <t>20041005</t>
  </si>
  <si>
    <t>132337197806142043</t>
  </si>
  <si>
    <t>20041011</t>
  </si>
  <si>
    <t>420111197704264114</t>
  </si>
  <si>
    <t>20041014</t>
  </si>
  <si>
    <t>422201197903100838</t>
  </si>
  <si>
    <t>20041017</t>
  </si>
  <si>
    <t>420106197910090038</t>
  </si>
  <si>
    <t>20041022</t>
  </si>
  <si>
    <t>420103197805164913</t>
  </si>
  <si>
    <t>20051004</t>
  </si>
  <si>
    <t>420106197901317739</t>
  </si>
  <si>
    <t>20061057</t>
  </si>
  <si>
    <t>429001198103190417</t>
  </si>
  <si>
    <t>20071022</t>
  </si>
  <si>
    <t>330722197704150037</t>
  </si>
  <si>
    <t>20071024</t>
  </si>
  <si>
    <t>420106198210234410</t>
  </si>
  <si>
    <t>20091019</t>
  </si>
  <si>
    <t>421083198208300018</t>
  </si>
  <si>
    <t>20111008</t>
  </si>
  <si>
    <t>420106197505237710</t>
  </si>
  <si>
    <t>20141104</t>
  </si>
  <si>
    <t>420103198301141616</t>
  </si>
  <si>
    <t>20151023</t>
  </si>
  <si>
    <t>42080219821231066X</t>
  </si>
  <si>
    <t>20160012</t>
  </si>
  <si>
    <t>413027197610253218</t>
  </si>
  <si>
    <t>20161071</t>
  </si>
  <si>
    <t>420106197910164471</t>
  </si>
  <si>
    <t>20171022</t>
  </si>
  <si>
    <t>420115198706207017</t>
  </si>
  <si>
    <t>20171033</t>
  </si>
  <si>
    <t>420106198707301252</t>
  </si>
  <si>
    <t>20171061</t>
  </si>
  <si>
    <t>420104198007024714</t>
  </si>
  <si>
    <t>20181073</t>
  </si>
  <si>
    <t>421003198007241531</t>
  </si>
  <si>
    <t>20181079</t>
  </si>
  <si>
    <t>421002198104091436</t>
  </si>
  <si>
    <t>20181109</t>
  </si>
  <si>
    <t>413026199310150420</t>
  </si>
  <si>
    <t>20190041</t>
  </si>
  <si>
    <t>420106199601224425</t>
  </si>
  <si>
    <t>20190063</t>
  </si>
  <si>
    <t>420106199002010863</t>
  </si>
  <si>
    <t>20190085</t>
  </si>
  <si>
    <t>421003198610160533</t>
  </si>
  <si>
    <t>20191008</t>
  </si>
  <si>
    <t>420122197812120918</t>
  </si>
  <si>
    <t>20191009</t>
  </si>
  <si>
    <t>410821198302211515</t>
  </si>
  <si>
    <t>20191019</t>
  </si>
  <si>
    <t>420821198712210023</t>
  </si>
  <si>
    <t>20200012</t>
  </si>
  <si>
    <t>420106198307178427</t>
  </si>
  <si>
    <t>20200057</t>
  </si>
  <si>
    <t>420502198709278021</t>
  </si>
  <si>
    <t>20200059</t>
  </si>
  <si>
    <t>412727199209190042</t>
  </si>
  <si>
    <t>20200097</t>
  </si>
  <si>
    <t>420704199302021628</t>
  </si>
  <si>
    <t>20200129</t>
  </si>
  <si>
    <t>42011119900909401X</t>
  </si>
  <si>
    <t>20201020</t>
  </si>
  <si>
    <t>371323198603064073</t>
  </si>
  <si>
    <t>20201037</t>
  </si>
  <si>
    <t>410522198902133215</t>
  </si>
  <si>
    <t>20201056</t>
  </si>
  <si>
    <t>420923199411246279</t>
  </si>
  <si>
    <t>20201083</t>
  </si>
  <si>
    <t>140724199003100164</t>
  </si>
  <si>
    <t>20210077</t>
  </si>
  <si>
    <t>420821198901220060</t>
  </si>
  <si>
    <t>20210083</t>
  </si>
  <si>
    <t>420983199207200720</t>
  </si>
  <si>
    <t>20210133</t>
  </si>
  <si>
    <t>421023199201150027</t>
  </si>
  <si>
    <t>20210141</t>
  </si>
  <si>
    <t>421023199310213437</t>
  </si>
  <si>
    <t>20211038</t>
  </si>
  <si>
    <t>371122199506122216</t>
  </si>
  <si>
    <t>20211050</t>
  </si>
  <si>
    <t>420102198806182038</t>
  </si>
  <si>
    <t>20211087</t>
  </si>
  <si>
    <t>429005198509117653</t>
  </si>
  <si>
    <t>20211150</t>
  </si>
  <si>
    <t>420115199308201706</t>
  </si>
  <si>
    <t>20220002</t>
  </si>
  <si>
    <t>421127198610030049</t>
  </si>
  <si>
    <t>20220072</t>
  </si>
  <si>
    <t>420321199212132812</t>
  </si>
  <si>
    <t>20221003</t>
  </si>
  <si>
    <t>420683199006184238</t>
  </si>
  <si>
    <t>20221006</t>
  </si>
  <si>
    <t>412801198809150850</t>
  </si>
  <si>
    <t>20221015</t>
  </si>
  <si>
    <t>421125198903210315</t>
  </si>
  <si>
    <t>20221022</t>
  </si>
  <si>
    <t>350102198811044117</t>
  </si>
  <si>
    <t>20221031</t>
  </si>
  <si>
    <t>410327198907291432</t>
  </si>
  <si>
    <t>20221050</t>
  </si>
  <si>
    <t>41010119910610203X</t>
  </si>
  <si>
    <t>20221066</t>
  </si>
  <si>
    <t>421083199212054934</t>
  </si>
  <si>
    <t>20221069</t>
  </si>
  <si>
    <t>321084199211225810</t>
  </si>
  <si>
    <t>20221074</t>
  </si>
  <si>
    <t>429004199203260316</t>
  </si>
  <si>
    <t>20221079</t>
  </si>
  <si>
    <t>421023198809165257</t>
  </si>
  <si>
    <t>20221128</t>
  </si>
  <si>
    <t>130429198901018022</t>
  </si>
  <si>
    <t>20230032</t>
  </si>
  <si>
    <t>420921199109115689</t>
  </si>
  <si>
    <t>20230052</t>
  </si>
  <si>
    <t>421087199502184740</t>
  </si>
  <si>
    <t>20230079</t>
  </si>
  <si>
    <t>320302198806192022</t>
  </si>
  <si>
    <t>20230114</t>
  </si>
  <si>
    <t>420982199611190089</t>
  </si>
  <si>
    <t>20230121</t>
  </si>
  <si>
    <t>421302199206051620</t>
  </si>
  <si>
    <t>20230144</t>
  </si>
  <si>
    <t>42092219931128006X</t>
  </si>
  <si>
    <t>20230148</t>
  </si>
  <si>
    <t>421126199307246013</t>
  </si>
  <si>
    <t>20231014</t>
  </si>
  <si>
    <t>422202198910150033</t>
  </si>
  <si>
    <t>20231039</t>
  </si>
  <si>
    <t>42118219900224021X</t>
  </si>
  <si>
    <t>20231078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</si>
</sst>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2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color indexed="8"/>
      <name val="宋体"/>
      <charset val="134"/>
      <scheme val="minor"/>
    </font>
    <font>
      <b/>
      <sz val="9"/>
      <name val="宋体"/>
      <charset val="134"/>
      <scheme val="minor"/>
    </font>
    <font>
      <sz val="9"/>
      <color indexed="8"/>
      <name val="宋体"/>
      <charset val="134"/>
    </font>
    <font>
      <b/>
      <sz val="9"/>
      <color theme="1"/>
      <name val="宋体"/>
      <charset val="134"/>
      <scheme val="minor"/>
    </font>
    <font>
      <sz val="12"/>
      <name val="宋体"/>
      <charset val="134"/>
      <scheme val="minor"/>
    </font>
    <font>
      <sz val="11"/>
      <color theme="1"/>
      <name val="宋体"/>
      <charset val="134"/>
    </font>
    <font>
      <sz val="11"/>
      <color theme="1"/>
      <name val="等线"/>
      <charset val="134"/>
    </font>
    <font>
      <sz val="12"/>
      <name val="等线"/>
      <charset val="134"/>
    </font>
    <font>
      <sz val="10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8" borderId="8" applyNumberFormat="0" applyAlignment="0" applyProtection="0">
      <alignment vertical="center"/>
    </xf>
    <xf numFmtId="0" fontId="22" fillId="9" borderId="9" applyNumberFormat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4" fillId="10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Fill="1" applyAlignment="1">
      <alignment vertical="center"/>
    </xf>
    <xf numFmtId="176" fontId="0" fillId="0" borderId="0" xfId="0" applyNumberFormat="1" applyAlignment="1">
      <alignment horizontal="center" vertical="center"/>
    </xf>
    <xf numFmtId="176" fontId="3" fillId="2" borderId="0" xfId="0" applyNumberFormat="1" applyFont="1" applyFill="1">
      <alignment vertical="center"/>
    </xf>
    <xf numFmtId="176" fontId="0" fillId="0" borderId="0" xfId="0" applyNumberFormat="1">
      <alignment vertical="center"/>
    </xf>
    <xf numFmtId="0" fontId="4" fillId="0" borderId="0" xfId="0" applyFont="1" applyFill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76" fontId="6" fillId="2" borderId="1" xfId="0" applyNumberFormat="1" applyFont="1" applyFill="1" applyBorder="1" applyAlignment="1">
      <alignment horizontal="center" vertical="center"/>
    </xf>
    <xf numFmtId="176" fontId="7" fillId="0" borderId="1" xfId="0" applyNumberFormat="1" applyFont="1" applyBorder="1">
      <alignment vertical="center"/>
    </xf>
    <xf numFmtId="176" fontId="7" fillId="5" borderId="1" xfId="0" applyNumberFormat="1" applyFont="1" applyFill="1" applyBorder="1" applyAlignment="1">
      <alignment horizontal="center" vertical="center" wrapText="1"/>
    </xf>
    <xf numFmtId="176" fontId="1" fillId="0" borderId="0" xfId="0" applyNumberFormat="1" applyFont="1">
      <alignment vertical="center"/>
    </xf>
    <xf numFmtId="176" fontId="7" fillId="5" borderId="0" xfId="0" applyNumberFormat="1" applyFont="1" applyFill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6" fontId="3" fillId="2" borderId="4" xfId="0" applyNumberFormat="1" applyFont="1" applyFill="1" applyBorder="1">
      <alignment vertical="center"/>
    </xf>
    <xf numFmtId="176" fontId="12" fillId="2" borderId="4" xfId="0" applyNumberFormat="1" applyFont="1" applyFill="1" applyBorder="1" applyAlignment="1">
      <alignment horizontal="left" vertical="center"/>
    </xf>
    <xf numFmtId="176" fontId="0" fillId="0" borderId="1" xfId="0" applyNumberFormat="1" applyBorder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" xfId="0" applyBorder="1">
      <alignment vertical="center"/>
    </xf>
    <xf numFmtId="176" fontId="0" fillId="6" borderId="1" xfId="0" applyNumberForma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14" fontId="8" fillId="0" borderId="1" xfId="0" applyNumberFormat="1" applyFont="1" applyFill="1" applyBorder="1" applyAlignment="1">
      <alignment horizontal="center" vertical="center"/>
    </xf>
    <xf numFmtId="14" fontId="8" fillId="0" borderId="0" xfId="0" applyNumberFormat="1" applyFont="1" applyFill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0" xfId="0" applyFont="1" applyFill="1" applyBorder="1" applyAlignment="1">
      <alignment horizontal="center" vertical="center"/>
    </xf>
    <xf numFmtId="176" fontId="12" fillId="2" borderId="0" xfId="0" applyNumberFormat="1" applyFont="1" applyFill="1" applyBorder="1" applyAlignment="1">
      <alignment horizontal="left" vertical="center"/>
    </xf>
    <xf numFmtId="176" fontId="3" fillId="2" borderId="0" xfId="0" applyNumberFormat="1" applyFont="1" applyFill="1" applyBorder="1">
      <alignment vertical="center"/>
    </xf>
    <xf numFmtId="0" fontId="3" fillId="0" borderId="1" xfId="0" applyNumberFormat="1" applyFont="1" applyFill="1" applyBorder="1" applyAlignment="1">
      <alignment horizontal="center" vertical="center"/>
    </xf>
    <xf numFmtId="176" fontId="0" fillId="2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181"/>
  <sheetViews>
    <sheetView tabSelected="1" zoomScale="130" zoomScaleNormal="130" workbookViewId="0">
      <selection activeCell="D60" sqref="D60:D61"/>
    </sheetView>
  </sheetViews>
  <sheetFormatPr defaultColWidth="9" defaultRowHeight="13.5"/>
  <cols>
    <col min="1" max="1" width="24.9" style="2" customWidth="1"/>
    <col min="2" max="2" width="12.5" style="2" customWidth="1"/>
    <col min="3" max="3" width="20.875" style="2" customWidth="1"/>
    <col min="4" max="5" width="12.875" style="2" customWidth="1"/>
    <col min="6" max="6" width="17" customWidth="1"/>
    <col min="7" max="7" width="14.2583333333333" style="2" customWidth="1"/>
    <col min="8" max="8" width="14.375" style="2" customWidth="1"/>
    <col min="9" max="13" width="12.875" style="2" customWidth="1"/>
    <col min="14" max="14" width="11" style="3" customWidth="1"/>
    <col min="15" max="15" width="15.125" customWidth="1"/>
    <col min="16" max="16" width="13.625" customWidth="1"/>
    <col min="17" max="18" width="16.875" customWidth="1"/>
    <col min="19" max="19" width="15.875" customWidth="1"/>
    <col min="20" max="20" width="17.375" customWidth="1"/>
    <col min="21" max="21" width="14.7583333333333" customWidth="1"/>
    <col min="22" max="23" width="12.875" customWidth="1"/>
    <col min="24" max="24" width="15.7583333333333" customWidth="1"/>
    <col min="25" max="25" width="15.875" customWidth="1"/>
    <col min="26" max="26" width="12.7583333333333" customWidth="1"/>
    <col min="27" max="27" width="14.5" customWidth="1"/>
    <col min="28" max="28" width="12.875" style="2" customWidth="1"/>
    <col min="29" max="29" width="11" customWidth="1"/>
    <col min="30" max="30" width="11" style="4" customWidth="1"/>
    <col min="31" max="33" width="11" style="5" customWidth="1"/>
    <col min="34" max="36" width="11" style="3" customWidth="1"/>
    <col min="37" max="37" width="11" customWidth="1"/>
    <col min="38" max="39" width="11" style="5" customWidth="1"/>
    <col min="40" max="40" width="12.375" style="5" customWidth="1"/>
  </cols>
  <sheetData>
    <row r="1" s="1" customFormat="1" ht="22.5" spans="1:40">
      <c r="A1" s="6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1" t="s">
        <v>19</v>
      </c>
      <c r="U1" s="11" t="s">
        <v>20</v>
      </c>
      <c r="V1" s="11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9" t="s">
        <v>28</v>
      </c>
      <c r="AD1" s="12" t="s">
        <v>29</v>
      </c>
      <c r="AE1" s="12" t="s">
        <v>30</v>
      </c>
      <c r="AF1" s="13" t="s">
        <v>31</v>
      </c>
      <c r="AG1" s="13" t="s">
        <v>32</v>
      </c>
      <c r="AH1" s="13" t="s">
        <v>33</v>
      </c>
      <c r="AI1" s="14" t="s">
        <v>34</v>
      </c>
      <c r="AJ1" s="14" t="s">
        <v>35</v>
      </c>
      <c r="AK1" s="14" t="s">
        <v>36</v>
      </c>
      <c r="AL1" s="15" t="s">
        <v>37</v>
      </c>
      <c r="AM1" s="1" t="s">
        <v>38</v>
      </c>
      <c r="AN1" s="16" t="s">
        <v>39</v>
      </c>
    </row>
    <row r="2" ht="15.75" spans="1:40">
      <c r="A2" s="17" t="s">
        <v>40</v>
      </c>
      <c r="B2" s="18" t="s">
        <v>41</v>
      </c>
      <c r="C2" s="18" t="s">
        <v>42</v>
      </c>
      <c r="D2" s="18" t="s">
        <v>43</v>
      </c>
      <c r="E2" s="19"/>
      <c r="F2" s="20">
        <v>0</v>
      </c>
      <c r="G2" s="19">
        <v>0</v>
      </c>
      <c r="H2" s="19">
        <v>0</v>
      </c>
      <c r="I2" s="19">
        <v>160</v>
      </c>
      <c r="J2" s="19"/>
      <c r="K2" s="19">
        <v>500</v>
      </c>
      <c r="L2" s="19"/>
      <c r="M2" s="19"/>
      <c r="N2" s="3">
        <v>0</v>
      </c>
      <c r="O2" s="21">
        <v>0</v>
      </c>
      <c r="P2" s="22">
        <v>0</v>
      </c>
      <c r="Q2" s="21">
        <v>0</v>
      </c>
      <c r="R2" s="21"/>
      <c r="S2" s="21">
        <v>0</v>
      </c>
      <c r="T2" s="23">
        <v>0</v>
      </c>
      <c r="U2" s="23"/>
      <c r="V2" s="23"/>
      <c r="W2" s="23"/>
      <c r="X2" s="23"/>
      <c r="Y2" s="24">
        <v>0</v>
      </c>
      <c r="Z2" s="22">
        <v>0</v>
      </c>
      <c r="AA2" s="22"/>
      <c r="AB2" s="23"/>
      <c r="AC2" s="19"/>
      <c r="AD2" s="25"/>
      <c r="AE2" s="26"/>
      <c r="AF2" s="27"/>
      <c r="AG2" s="27">
        <v>100</v>
      </c>
      <c r="AH2" s="27">
        <v>1500</v>
      </c>
      <c r="AI2" s="28">
        <v>300</v>
      </c>
      <c r="AJ2" s="28">
        <v>6000</v>
      </c>
      <c r="AK2" s="19"/>
      <c r="AM2">
        <v>14400</v>
      </c>
      <c r="AN2" s="3">
        <f>SUM(E2:AK2)-AM2+AL2</f>
        <v>-5840</v>
      </c>
    </row>
    <row r="3" ht="15.75" spans="1:40">
      <c r="A3" s="17" t="s">
        <v>44</v>
      </c>
      <c r="B3" s="18" t="s">
        <v>45</v>
      </c>
      <c r="C3" s="18" t="s">
        <v>42</v>
      </c>
      <c r="D3" s="18" t="s">
        <v>43</v>
      </c>
      <c r="E3" s="19"/>
      <c r="F3" s="20">
        <v>0</v>
      </c>
      <c r="G3" s="19">
        <v>0</v>
      </c>
      <c r="H3" s="19">
        <v>0</v>
      </c>
      <c r="I3" s="19"/>
      <c r="J3" s="19"/>
      <c r="K3" s="19">
        <v>500</v>
      </c>
      <c r="L3" s="19"/>
      <c r="M3" s="19"/>
      <c r="N3" s="3">
        <v>0</v>
      </c>
      <c r="O3" s="21">
        <v>600</v>
      </c>
      <c r="P3" s="22">
        <v>0</v>
      </c>
      <c r="Q3" s="21">
        <v>0</v>
      </c>
      <c r="R3" s="21"/>
      <c r="S3" s="21">
        <v>0</v>
      </c>
      <c r="T3" s="23">
        <v>0</v>
      </c>
      <c r="U3" s="23"/>
      <c r="V3" s="23"/>
      <c r="W3" s="23"/>
      <c r="X3" s="23"/>
      <c r="Y3" s="24">
        <v>0</v>
      </c>
      <c r="Z3" s="22">
        <v>0</v>
      </c>
      <c r="AA3" s="22"/>
      <c r="AB3" s="23"/>
      <c r="AC3" s="19">
        <v>750</v>
      </c>
      <c r="AD3" s="25"/>
      <c r="AE3" s="25"/>
      <c r="AF3" s="27"/>
      <c r="AG3" s="27">
        <v>400</v>
      </c>
      <c r="AH3" s="27">
        <v>1500</v>
      </c>
      <c r="AI3" s="28"/>
      <c r="AJ3" s="28"/>
      <c r="AK3" s="18"/>
      <c r="AM3">
        <v>14400</v>
      </c>
      <c r="AN3" s="3">
        <f>SUM(E3:AK3)-AM3+AL3</f>
        <v>-10650</v>
      </c>
    </row>
    <row r="4" ht="15.75" spans="1:40">
      <c r="A4" s="17" t="s">
        <v>46</v>
      </c>
      <c r="B4" s="18" t="s">
        <v>47</v>
      </c>
      <c r="C4" s="18" t="s">
        <v>42</v>
      </c>
      <c r="D4" s="18" t="s">
        <v>43</v>
      </c>
      <c r="E4" s="19"/>
      <c r="F4" s="20">
        <v>0</v>
      </c>
      <c r="G4" s="19">
        <v>0</v>
      </c>
      <c r="H4" s="19">
        <v>0</v>
      </c>
      <c r="I4" s="19"/>
      <c r="J4" s="19"/>
      <c r="K4" s="19">
        <v>0</v>
      </c>
      <c r="L4" s="19"/>
      <c r="M4" s="19"/>
      <c r="N4" s="3">
        <v>0</v>
      </c>
      <c r="O4" s="21">
        <v>0</v>
      </c>
      <c r="P4" s="22">
        <v>0</v>
      </c>
      <c r="Q4" s="21">
        <v>0</v>
      </c>
      <c r="R4" s="21"/>
      <c r="S4" s="21">
        <v>0</v>
      </c>
      <c r="T4" s="23">
        <v>0</v>
      </c>
      <c r="U4" s="23"/>
      <c r="V4" s="23"/>
      <c r="W4" s="23"/>
      <c r="X4" s="23"/>
      <c r="Y4" s="24">
        <v>0</v>
      </c>
      <c r="Z4" s="22">
        <v>0</v>
      </c>
      <c r="AA4" s="22"/>
      <c r="AB4" s="23"/>
      <c r="AC4" s="19"/>
      <c r="AD4" s="25"/>
      <c r="AE4" s="25"/>
      <c r="AF4" s="27"/>
      <c r="AG4" s="27">
        <v>0</v>
      </c>
      <c r="AH4" s="27">
        <v>750</v>
      </c>
      <c r="AI4" s="28"/>
      <c r="AJ4" s="28"/>
      <c r="AK4" s="19"/>
      <c r="AM4">
        <v>14400</v>
      </c>
      <c r="AN4" s="3">
        <f>SUM(E4:AK4)-AM4+AL4</f>
        <v>-13650</v>
      </c>
    </row>
    <row r="5" ht="15.75" spans="1:40">
      <c r="A5" s="17" t="s">
        <v>48</v>
      </c>
      <c r="B5" s="18" t="s">
        <v>49</v>
      </c>
      <c r="C5" s="18" t="s">
        <v>42</v>
      </c>
      <c r="D5" s="18" t="s">
        <v>43</v>
      </c>
      <c r="E5" s="19"/>
      <c r="F5" s="20">
        <v>0</v>
      </c>
      <c r="G5" s="19">
        <v>0</v>
      </c>
      <c r="H5" s="19">
        <v>0</v>
      </c>
      <c r="I5" s="19"/>
      <c r="J5" s="19"/>
      <c r="K5" s="19">
        <v>500</v>
      </c>
      <c r="L5" s="19"/>
      <c r="M5" s="19"/>
      <c r="N5" s="3">
        <v>0</v>
      </c>
      <c r="O5" s="21">
        <v>600</v>
      </c>
      <c r="P5" s="22">
        <v>0</v>
      </c>
      <c r="Q5" s="21">
        <v>0</v>
      </c>
      <c r="R5" s="21"/>
      <c r="S5" s="21">
        <v>0</v>
      </c>
      <c r="T5" s="23">
        <v>0</v>
      </c>
      <c r="U5" s="29"/>
      <c r="V5" s="23"/>
      <c r="W5" s="23"/>
      <c r="X5" s="23"/>
      <c r="Y5" s="24">
        <v>0</v>
      </c>
      <c r="Z5" s="22">
        <v>0</v>
      </c>
      <c r="AA5" s="22"/>
      <c r="AB5" s="23"/>
      <c r="AC5" s="19">
        <v>200</v>
      </c>
      <c r="AD5" s="25"/>
      <c r="AE5" s="25"/>
      <c r="AF5" s="27"/>
      <c r="AG5" s="27">
        <v>600</v>
      </c>
      <c r="AH5" s="27">
        <v>1500</v>
      </c>
      <c r="AI5" s="28"/>
      <c r="AJ5" s="28"/>
      <c r="AK5" s="19"/>
      <c r="AM5">
        <v>14400</v>
      </c>
      <c r="AN5" s="3">
        <f>SUM(E5:AK5)-AM5+AL5</f>
        <v>-11000</v>
      </c>
    </row>
    <row r="6" ht="15.75" spans="1:40">
      <c r="A6" s="30"/>
      <c r="B6" s="18" t="s">
        <v>50</v>
      </c>
      <c r="C6" s="18" t="s">
        <v>51</v>
      </c>
      <c r="D6" s="18" t="s">
        <v>43</v>
      </c>
      <c r="E6" s="19"/>
      <c r="F6" s="20">
        <v>60000</v>
      </c>
      <c r="G6" s="19">
        <v>7914</v>
      </c>
      <c r="H6" s="19">
        <v>7200</v>
      </c>
      <c r="I6" s="19"/>
      <c r="J6" s="19"/>
      <c r="K6" s="19">
        <v>0</v>
      </c>
      <c r="L6" s="19"/>
      <c r="M6" s="19">
        <v>1000</v>
      </c>
      <c r="N6" s="3">
        <v>0</v>
      </c>
      <c r="O6" s="21">
        <v>0</v>
      </c>
      <c r="P6" s="22">
        <v>600</v>
      </c>
      <c r="Q6" s="21">
        <v>0</v>
      </c>
      <c r="R6" s="21"/>
      <c r="S6" s="21">
        <v>0</v>
      </c>
      <c r="T6" s="23">
        <v>0</v>
      </c>
      <c r="U6" s="23"/>
      <c r="V6" s="23"/>
      <c r="W6" s="23"/>
      <c r="X6" s="23"/>
      <c r="Y6" s="24">
        <v>0</v>
      </c>
      <c r="Z6" s="22">
        <v>80</v>
      </c>
      <c r="AA6" s="22"/>
      <c r="AB6" s="23"/>
      <c r="AC6" s="19"/>
      <c r="AD6" s="26">
        <v>0</v>
      </c>
      <c r="AE6" s="26"/>
      <c r="AF6" s="27"/>
      <c r="AG6" s="27">
        <v>0</v>
      </c>
      <c r="AH6" s="27">
        <v>750</v>
      </c>
      <c r="AI6" s="31"/>
      <c r="AJ6" s="31"/>
      <c r="AK6" s="19"/>
      <c r="AL6" s="5">
        <v>-1882.19</v>
      </c>
      <c r="AM6">
        <v>36000</v>
      </c>
      <c r="AN6" s="3">
        <f>SUM(E6:AK6)-AM6+AL6</f>
        <v>39661.81</v>
      </c>
    </row>
    <row r="7" ht="15.75" spans="1:40">
      <c r="A7" s="17" t="s">
        <v>52</v>
      </c>
      <c r="B7" s="18" t="s">
        <v>53</v>
      </c>
      <c r="C7" s="18" t="s">
        <v>54</v>
      </c>
      <c r="D7" s="18" t="s">
        <v>43</v>
      </c>
      <c r="E7" s="19"/>
      <c r="F7" s="20">
        <v>0</v>
      </c>
      <c r="G7" s="19">
        <v>750</v>
      </c>
      <c r="H7" s="19">
        <v>5000</v>
      </c>
      <c r="I7" s="19">
        <v>1920</v>
      </c>
      <c r="J7" s="19"/>
      <c r="K7" s="19">
        <v>0</v>
      </c>
      <c r="L7" s="19"/>
      <c r="M7" s="19"/>
      <c r="N7" s="3">
        <v>0</v>
      </c>
      <c r="O7" s="21">
        <v>600</v>
      </c>
      <c r="P7" s="22">
        <v>600</v>
      </c>
      <c r="Q7" s="21">
        <v>0</v>
      </c>
      <c r="R7" s="21"/>
      <c r="S7" s="21">
        <v>0</v>
      </c>
      <c r="T7" s="23">
        <v>0</v>
      </c>
      <c r="U7" s="23"/>
      <c r="V7" s="23"/>
      <c r="W7" s="23"/>
      <c r="X7" s="23"/>
      <c r="Y7" s="24">
        <v>0</v>
      </c>
      <c r="Z7" s="22">
        <v>0</v>
      </c>
      <c r="AA7" s="22"/>
      <c r="AB7" s="23"/>
      <c r="AC7" s="19"/>
      <c r="AD7" s="26">
        <v>0</v>
      </c>
      <c r="AE7" s="26"/>
      <c r="AF7" s="27"/>
      <c r="AG7" s="27">
        <v>0</v>
      </c>
      <c r="AH7" s="27">
        <v>0</v>
      </c>
      <c r="AI7" s="28"/>
      <c r="AJ7" s="28"/>
      <c r="AK7" s="19"/>
      <c r="AL7" s="5">
        <v>-3671.64</v>
      </c>
      <c r="AM7">
        <v>4000</v>
      </c>
      <c r="AN7" s="3">
        <f>SUM(E7:AK7)-AM7+AL7</f>
        <v>1198.36</v>
      </c>
    </row>
    <row r="8" ht="15.75" spans="1:40">
      <c r="A8" s="17" t="s">
        <v>55</v>
      </c>
      <c r="B8" s="18" t="s">
        <v>56</v>
      </c>
      <c r="C8" s="18" t="s">
        <v>57</v>
      </c>
      <c r="D8" s="18" t="s">
        <v>58</v>
      </c>
      <c r="E8" s="19"/>
      <c r="F8" s="20">
        <v>0</v>
      </c>
      <c r="G8" s="19">
        <v>0</v>
      </c>
      <c r="H8" s="19">
        <v>0</v>
      </c>
      <c r="I8" s="19"/>
      <c r="J8" s="19"/>
      <c r="K8" s="19">
        <v>0</v>
      </c>
      <c r="L8" s="19"/>
      <c r="M8" s="19"/>
      <c r="N8" s="3">
        <v>0</v>
      </c>
      <c r="O8" s="21">
        <v>1200</v>
      </c>
      <c r="P8" s="22">
        <v>0</v>
      </c>
      <c r="Q8" s="21">
        <v>140</v>
      </c>
      <c r="R8" s="21"/>
      <c r="S8" s="21">
        <v>0</v>
      </c>
      <c r="T8" s="23">
        <v>0</v>
      </c>
      <c r="U8" s="23"/>
      <c r="V8" s="23"/>
      <c r="W8" s="23"/>
      <c r="X8" s="23"/>
      <c r="Y8" s="24">
        <v>0</v>
      </c>
      <c r="Z8" s="22">
        <v>0</v>
      </c>
      <c r="AA8" s="22"/>
      <c r="AB8" s="23"/>
      <c r="AC8" s="19">
        <v>150</v>
      </c>
      <c r="AD8" s="26">
        <v>0</v>
      </c>
      <c r="AE8" s="26"/>
      <c r="AF8" s="27"/>
      <c r="AG8" s="27">
        <v>100</v>
      </c>
      <c r="AH8" s="27">
        <v>1500</v>
      </c>
      <c r="AI8" s="28"/>
      <c r="AJ8" s="28"/>
      <c r="AK8" s="19"/>
      <c r="AM8">
        <v>31200</v>
      </c>
      <c r="AN8" s="3">
        <f>SUM(E8:AK8)-AM8+AL8</f>
        <v>-28110</v>
      </c>
    </row>
    <row r="9" ht="15.75" spans="1:40">
      <c r="A9" s="17" t="s">
        <v>59</v>
      </c>
      <c r="B9" s="18" t="s">
        <v>60</v>
      </c>
      <c r="C9" s="18" t="s">
        <v>61</v>
      </c>
      <c r="D9" s="18" t="s">
        <v>58</v>
      </c>
      <c r="E9" s="19"/>
      <c r="F9" s="20">
        <v>0</v>
      </c>
      <c r="G9" s="19">
        <v>0</v>
      </c>
      <c r="H9" s="19">
        <v>0</v>
      </c>
      <c r="I9" s="19"/>
      <c r="J9" s="19"/>
      <c r="K9" s="19">
        <v>0</v>
      </c>
      <c r="L9" s="19"/>
      <c r="M9" s="19"/>
      <c r="N9" s="3">
        <v>0</v>
      </c>
      <c r="O9" s="21">
        <v>0</v>
      </c>
      <c r="P9" s="22">
        <v>0</v>
      </c>
      <c r="Q9" s="21">
        <v>0</v>
      </c>
      <c r="R9" s="21"/>
      <c r="S9" s="21">
        <v>0</v>
      </c>
      <c r="T9" s="23">
        <v>0</v>
      </c>
      <c r="U9" s="23"/>
      <c r="V9" s="23"/>
      <c r="W9" s="23"/>
      <c r="X9" s="23"/>
      <c r="Y9" s="24">
        <v>0</v>
      </c>
      <c r="Z9" s="22">
        <v>0</v>
      </c>
      <c r="AA9" s="22"/>
      <c r="AB9" s="23"/>
      <c r="AC9" s="19">
        <v>230</v>
      </c>
      <c r="AD9" s="26">
        <v>0</v>
      </c>
      <c r="AE9" s="26"/>
      <c r="AF9" s="27"/>
      <c r="AG9" s="27">
        <v>200</v>
      </c>
      <c r="AH9" s="27">
        <v>1500</v>
      </c>
      <c r="AI9" s="28"/>
      <c r="AJ9" s="28"/>
      <c r="AK9" s="19"/>
      <c r="AM9">
        <v>31200</v>
      </c>
      <c r="AN9" s="3">
        <f>SUM(E9:AK9)-AM9+AL9</f>
        <v>-29270</v>
      </c>
    </row>
    <row r="10" ht="15.75" spans="1:40">
      <c r="A10" s="17" t="s">
        <v>62</v>
      </c>
      <c r="B10" s="18" t="s">
        <v>63</v>
      </c>
      <c r="C10" s="18" t="s">
        <v>61</v>
      </c>
      <c r="D10" s="18" t="s">
        <v>58</v>
      </c>
      <c r="E10" s="19"/>
      <c r="F10" s="20">
        <v>0</v>
      </c>
      <c r="G10" s="19">
        <v>0</v>
      </c>
      <c r="H10" s="19">
        <v>0</v>
      </c>
      <c r="I10" s="19"/>
      <c r="J10" s="19"/>
      <c r="K10" s="19">
        <v>0</v>
      </c>
      <c r="L10" s="19"/>
      <c r="M10" s="19"/>
      <c r="N10" s="3">
        <v>0</v>
      </c>
      <c r="O10" s="21">
        <v>0</v>
      </c>
      <c r="P10" s="22">
        <v>0</v>
      </c>
      <c r="Q10" s="21">
        <v>0</v>
      </c>
      <c r="R10" s="21"/>
      <c r="S10" s="21">
        <v>0</v>
      </c>
      <c r="T10" s="23">
        <v>0</v>
      </c>
      <c r="U10" s="23"/>
      <c r="V10" s="23"/>
      <c r="W10" s="23"/>
      <c r="X10" s="23"/>
      <c r="Y10" s="24">
        <v>0</v>
      </c>
      <c r="Z10" s="22">
        <v>80</v>
      </c>
      <c r="AA10" s="22"/>
      <c r="AB10" s="23"/>
      <c r="AC10" s="19"/>
      <c r="AD10" s="26">
        <v>0</v>
      </c>
      <c r="AE10" s="26"/>
      <c r="AF10" s="27"/>
      <c r="AG10" s="27">
        <v>200</v>
      </c>
      <c r="AH10" s="27">
        <v>1350</v>
      </c>
      <c r="AI10" s="28"/>
      <c r="AJ10" s="28"/>
      <c r="AK10" s="19"/>
      <c r="AL10" s="5"/>
      <c r="AM10">
        <v>31200</v>
      </c>
      <c r="AN10" s="3">
        <f>SUM(E10:AK10)-AM10+AL10+20000</f>
        <v>-9570</v>
      </c>
    </row>
    <row r="11" ht="15.75" spans="1:40">
      <c r="A11" s="17" t="s">
        <v>64</v>
      </c>
      <c r="B11" s="18" t="s">
        <v>65</v>
      </c>
      <c r="C11" s="18" t="s">
        <v>61</v>
      </c>
      <c r="D11" s="18" t="s">
        <v>58</v>
      </c>
      <c r="E11" s="19"/>
      <c r="F11" s="20">
        <v>0</v>
      </c>
      <c r="G11" s="19">
        <v>0</v>
      </c>
      <c r="H11" s="19">
        <v>0</v>
      </c>
      <c r="I11" s="19"/>
      <c r="J11" s="19"/>
      <c r="K11" s="19">
        <v>0</v>
      </c>
      <c r="L11" s="19">
        <v>1000</v>
      </c>
      <c r="M11" s="19"/>
      <c r="N11" s="3">
        <v>0</v>
      </c>
      <c r="O11" s="21">
        <v>0</v>
      </c>
      <c r="P11" s="22">
        <v>0</v>
      </c>
      <c r="Q11" s="21">
        <v>0</v>
      </c>
      <c r="R11" s="21"/>
      <c r="S11" s="21">
        <v>0</v>
      </c>
      <c r="T11" s="23">
        <v>0</v>
      </c>
      <c r="U11" s="23"/>
      <c r="V11" s="23"/>
      <c r="W11" s="23"/>
      <c r="X11" s="23"/>
      <c r="Y11" s="24">
        <v>0</v>
      </c>
      <c r="Z11" s="22">
        <v>0</v>
      </c>
      <c r="AA11" s="22"/>
      <c r="AB11" s="23"/>
      <c r="AC11" s="19">
        <v>230</v>
      </c>
      <c r="AD11" s="26">
        <v>0</v>
      </c>
      <c r="AE11" s="26"/>
      <c r="AF11" s="27"/>
      <c r="AG11" s="27">
        <v>300</v>
      </c>
      <c r="AH11" s="27">
        <v>1500</v>
      </c>
      <c r="AI11" s="28"/>
      <c r="AJ11" s="28"/>
      <c r="AK11" s="19"/>
      <c r="AM11">
        <v>31200</v>
      </c>
      <c r="AN11" s="3">
        <f>SUM(E11:AK11)-AM11+AL11</f>
        <v>-28170</v>
      </c>
    </row>
    <row r="12" ht="15.75" spans="1:40">
      <c r="A12" s="17" t="s">
        <v>66</v>
      </c>
      <c r="B12" s="18" t="s">
        <v>67</v>
      </c>
      <c r="C12" s="18" t="s">
        <v>68</v>
      </c>
      <c r="D12" s="18" t="s">
        <v>58</v>
      </c>
      <c r="E12" s="19"/>
      <c r="F12" s="20">
        <v>0</v>
      </c>
      <c r="G12" s="19">
        <v>0</v>
      </c>
      <c r="H12" s="19">
        <v>0</v>
      </c>
      <c r="I12" s="19"/>
      <c r="J12" s="19"/>
      <c r="K12" s="19">
        <v>0</v>
      </c>
      <c r="L12" s="19"/>
      <c r="M12" s="19"/>
      <c r="N12" s="3">
        <v>0</v>
      </c>
      <c r="O12" s="21">
        <v>0</v>
      </c>
      <c r="P12" s="22">
        <v>0</v>
      </c>
      <c r="Q12" s="21">
        <v>0</v>
      </c>
      <c r="R12" s="21"/>
      <c r="S12" s="21">
        <v>0</v>
      </c>
      <c r="T12" s="23">
        <v>0</v>
      </c>
      <c r="U12" s="23"/>
      <c r="V12" s="23"/>
      <c r="W12" s="23"/>
      <c r="X12" s="23"/>
      <c r="Y12" s="24">
        <v>0</v>
      </c>
      <c r="Z12" s="22">
        <v>0</v>
      </c>
      <c r="AA12" s="22"/>
      <c r="AB12" s="23"/>
      <c r="AC12" s="19"/>
      <c r="AD12" s="26"/>
      <c r="AE12" s="26"/>
      <c r="AF12" s="27"/>
      <c r="AG12" s="27">
        <v>400</v>
      </c>
      <c r="AH12" s="27">
        <v>1500</v>
      </c>
      <c r="AI12" s="28"/>
      <c r="AJ12" s="28"/>
      <c r="AK12" s="19"/>
      <c r="AM12">
        <v>31200</v>
      </c>
      <c r="AN12" s="3">
        <f>SUM(E12:AK12)-AM12+AL12</f>
        <v>-29300</v>
      </c>
    </row>
    <row r="13" ht="15.75" spans="1:40">
      <c r="A13" s="17" t="s">
        <v>69</v>
      </c>
      <c r="B13" s="18" t="s">
        <v>70</v>
      </c>
      <c r="C13" s="18" t="s">
        <v>57</v>
      </c>
      <c r="D13" s="18" t="s">
        <v>58</v>
      </c>
      <c r="E13" s="19"/>
      <c r="F13" s="20">
        <v>0</v>
      </c>
      <c r="G13" s="19">
        <v>0</v>
      </c>
      <c r="H13" s="19">
        <v>0</v>
      </c>
      <c r="I13" s="19"/>
      <c r="J13" s="19"/>
      <c r="K13" s="19">
        <v>0</v>
      </c>
      <c r="L13" s="19"/>
      <c r="M13" s="19"/>
      <c r="N13" s="3">
        <v>0</v>
      </c>
      <c r="O13" s="21">
        <v>1800</v>
      </c>
      <c r="P13" s="22">
        <v>0</v>
      </c>
      <c r="Q13" s="21">
        <v>0</v>
      </c>
      <c r="R13" s="21"/>
      <c r="S13" s="21">
        <v>0</v>
      </c>
      <c r="T13" s="23">
        <v>4502.4</v>
      </c>
      <c r="U13" s="23"/>
      <c r="V13" s="23"/>
      <c r="W13" s="23"/>
      <c r="X13" s="23"/>
      <c r="Y13" s="24">
        <v>1600</v>
      </c>
      <c r="Z13" s="22">
        <v>0</v>
      </c>
      <c r="AA13" s="22"/>
      <c r="AB13" s="23"/>
      <c r="AC13" s="19">
        <v>500</v>
      </c>
      <c r="AD13" s="26">
        <v>0</v>
      </c>
      <c r="AE13" s="26"/>
      <c r="AF13" s="27"/>
      <c r="AG13" s="27">
        <v>200</v>
      </c>
      <c r="AH13" s="27">
        <v>1500</v>
      </c>
      <c r="AI13" s="28"/>
      <c r="AJ13" s="28"/>
      <c r="AK13" s="19"/>
      <c r="AL13" s="5">
        <v>-6579.6</v>
      </c>
      <c r="AM13">
        <v>15200</v>
      </c>
      <c r="AN13" s="3">
        <f>SUM(E13:AK13)-AM13+AL13</f>
        <v>-11677.2</v>
      </c>
    </row>
    <row r="14" ht="15.75" spans="1:40">
      <c r="A14" s="17" t="s">
        <v>71</v>
      </c>
      <c r="B14" s="18" t="s">
        <v>72</v>
      </c>
      <c r="C14" s="18" t="s">
        <v>54</v>
      </c>
      <c r="D14" s="18" t="s">
        <v>58</v>
      </c>
      <c r="E14" s="19"/>
      <c r="F14" s="20">
        <v>0</v>
      </c>
      <c r="G14" s="19">
        <v>0</v>
      </c>
      <c r="H14" s="19">
        <v>0</v>
      </c>
      <c r="I14" s="19"/>
      <c r="J14" s="19"/>
      <c r="K14" s="19">
        <v>0</v>
      </c>
      <c r="L14" s="19"/>
      <c r="M14" s="19"/>
      <c r="N14" s="3">
        <v>0</v>
      </c>
      <c r="O14" s="21">
        <v>-1200</v>
      </c>
      <c r="P14" s="22">
        <v>0</v>
      </c>
      <c r="Q14" s="21">
        <v>70</v>
      </c>
      <c r="R14" s="21"/>
      <c r="S14" s="21">
        <v>0</v>
      </c>
      <c r="T14" s="23">
        <v>0</v>
      </c>
      <c r="U14" s="23"/>
      <c r="V14" s="23"/>
      <c r="W14" s="23"/>
      <c r="X14" s="23"/>
      <c r="Y14" s="24">
        <v>0</v>
      </c>
      <c r="Z14" s="22">
        <v>0</v>
      </c>
      <c r="AA14" s="22"/>
      <c r="AB14" s="23"/>
      <c r="AC14" s="19">
        <v>150</v>
      </c>
      <c r="AD14" s="26">
        <v>0</v>
      </c>
      <c r="AE14" s="26"/>
      <c r="AF14" s="27"/>
      <c r="AG14" s="27">
        <v>0</v>
      </c>
      <c r="AH14" s="27">
        <v>0</v>
      </c>
      <c r="AI14" s="28"/>
      <c r="AJ14" s="28"/>
      <c r="AK14" s="19"/>
      <c r="AL14" s="5"/>
      <c r="AM14">
        <v>31200</v>
      </c>
      <c r="AN14" s="3">
        <f>SUM(E14:AK14)-AM14+AL14</f>
        <v>-32180</v>
      </c>
    </row>
    <row r="15" ht="15.75" spans="1:40">
      <c r="A15" s="17" t="s">
        <v>73</v>
      </c>
      <c r="B15" s="18" t="s">
        <v>74</v>
      </c>
      <c r="C15" s="18" t="s">
        <v>51</v>
      </c>
      <c r="D15" s="18" t="s">
        <v>58</v>
      </c>
      <c r="E15" s="19"/>
      <c r="F15" s="20">
        <v>0</v>
      </c>
      <c r="G15" s="19">
        <v>590</v>
      </c>
      <c r="H15" s="19">
        <v>5000</v>
      </c>
      <c r="I15" s="19"/>
      <c r="J15" s="19"/>
      <c r="K15" s="19">
        <v>0</v>
      </c>
      <c r="L15" s="19"/>
      <c r="M15" s="19"/>
      <c r="N15" s="3">
        <v>4800</v>
      </c>
      <c r="O15" s="21">
        <v>1800</v>
      </c>
      <c r="P15" s="22">
        <v>1200</v>
      </c>
      <c r="Q15" s="21">
        <v>350</v>
      </c>
      <c r="R15" s="21"/>
      <c r="S15" s="21">
        <v>0</v>
      </c>
      <c r="T15" s="23">
        <v>0</v>
      </c>
      <c r="U15" s="23"/>
      <c r="V15" s="23"/>
      <c r="W15" s="23"/>
      <c r="X15" s="23"/>
      <c r="Y15" s="24">
        <v>400</v>
      </c>
      <c r="Z15" s="22">
        <v>0</v>
      </c>
      <c r="AA15" s="22"/>
      <c r="AB15" s="23"/>
      <c r="AC15" s="19">
        <v>200</v>
      </c>
      <c r="AD15" s="26">
        <v>0</v>
      </c>
      <c r="AE15" s="26"/>
      <c r="AF15" s="27"/>
      <c r="AG15" s="27">
        <v>200</v>
      </c>
      <c r="AH15" s="27">
        <v>1350</v>
      </c>
      <c r="AI15" s="28"/>
      <c r="AJ15" s="28"/>
      <c r="AK15" s="19"/>
      <c r="AM15">
        <v>31200</v>
      </c>
      <c r="AN15" s="3">
        <f>SUM(E15:AK15)-AM15+AL15</f>
        <v>-15310</v>
      </c>
    </row>
    <row r="16" ht="15.75" spans="1:40">
      <c r="A16" s="17" t="s">
        <v>75</v>
      </c>
      <c r="B16" s="18" t="s">
        <v>76</v>
      </c>
      <c r="C16" s="18" t="s">
        <v>57</v>
      </c>
      <c r="D16" s="18" t="s">
        <v>58</v>
      </c>
      <c r="E16" s="19"/>
      <c r="F16" s="20">
        <v>0</v>
      </c>
      <c r="G16" s="19">
        <v>0</v>
      </c>
      <c r="H16" s="19">
        <v>0</v>
      </c>
      <c r="I16" s="19"/>
      <c r="J16" s="19"/>
      <c r="K16" s="19">
        <v>0</v>
      </c>
      <c r="L16" s="19"/>
      <c r="M16" s="19"/>
      <c r="N16" s="3">
        <v>0</v>
      </c>
      <c r="O16" s="21">
        <v>600</v>
      </c>
      <c r="P16" s="22">
        <v>0</v>
      </c>
      <c r="Q16" s="21">
        <v>0</v>
      </c>
      <c r="R16" s="21"/>
      <c r="S16" s="21">
        <v>0</v>
      </c>
      <c r="T16" s="23">
        <v>0</v>
      </c>
      <c r="U16" s="23"/>
      <c r="V16" s="23"/>
      <c r="W16" s="23"/>
      <c r="X16" s="23"/>
      <c r="Y16" s="24">
        <v>400</v>
      </c>
      <c r="Z16" s="22">
        <v>0</v>
      </c>
      <c r="AA16" s="22"/>
      <c r="AB16" s="23"/>
      <c r="AC16" s="19">
        <v>330</v>
      </c>
      <c r="AD16" s="26">
        <v>0</v>
      </c>
      <c r="AE16" s="26"/>
      <c r="AF16" s="27"/>
      <c r="AG16" s="27">
        <v>200</v>
      </c>
      <c r="AH16" s="27">
        <v>1500</v>
      </c>
      <c r="AI16" s="28"/>
      <c r="AJ16" s="28"/>
      <c r="AK16" s="19"/>
      <c r="AL16" s="5">
        <v>-4114.44</v>
      </c>
      <c r="AM16">
        <v>15200</v>
      </c>
      <c r="AN16" s="3">
        <f>SUM(E16:AK16)-AM16+AL16</f>
        <v>-16284.44</v>
      </c>
    </row>
    <row r="17" ht="15.75" spans="1:40">
      <c r="A17" s="17" t="s">
        <v>77</v>
      </c>
      <c r="B17" s="18" t="s">
        <v>78</v>
      </c>
      <c r="C17" s="18" t="s">
        <v>68</v>
      </c>
      <c r="D17" s="18" t="s">
        <v>58</v>
      </c>
      <c r="E17" s="19">
        <v>1000</v>
      </c>
      <c r="F17" s="20">
        <v>0</v>
      </c>
      <c r="G17" s="19">
        <v>0</v>
      </c>
      <c r="H17" s="19">
        <v>0</v>
      </c>
      <c r="I17" s="19"/>
      <c r="J17" s="19"/>
      <c r="K17" s="19">
        <v>0</v>
      </c>
      <c r="L17" s="19"/>
      <c r="M17" s="19"/>
      <c r="N17" s="3">
        <v>0</v>
      </c>
      <c r="O17" s="21">
        <v>1800</v>
      </c>
      <c r="P17" s="22">
        <v>600</v>
      </c>
      <c r="Q17" s="21">
        <v>8470</v>
      </c>
      <c r="R17" s="21"/>
      <c r="S17" s="21">
        <v>340</v>
      </c>
      <c r="T17" s="23">
        <v>0</v>
      </c>
      <c r="U17" s="23">
        <v>1023.84</v>
      </c>
      <c r="V17" s="23"/>
      <c r="W17" s="23">
        <v>13000</v>
      </c>
      <c r="X17" s="23"/>
      <c r="Y17" s="24">
        <v>3400</v>
      </c>
      <c r="Z17" s="22">
        <v>240</v>
      </c>
      <c r="AA17" s="22"/>
      <c r="AB17" s="23"/>
      <c r="AC17" s="19">
        <v>1150</v>
      </c>
      <c r="AD17" s="26">
        <v>0</v>
      </c>
      <c r="AE17" s="26"/>
      <c r="AF17" s="27"/>
      <c r="AG17" s="27">
        <v>300</v>
      </c>
      <c r="AH17" s="27">
        <v>1500</v>
      </c>
      <c r="AI17" s="28">
        <v>500</v>
      </c>
      <c r="AJ17" s="28"/>
      <c r="AK17" s="19"/>
      <c r="AM17">
        <v>31200</v>
      </c>
      <c r="AN17" s="3">
        <f>SUM(E17:AK17)-AM17+AL17</f>
        <v>2123.84</v>
      </c>
    </row>
    <row r="18" ht="15.75" spans="1:40">
      <c r="A18" s="17" t="s">
        <v>79</v>
      </c>
      <c r="B18" s="18" t="s">
        <v>80</v>
      </c>
      <c r="C18" s="18" t="s">
        <v>61</v>
      </c>
      <c r="D18" s="18" t="s">
        <v>58</v>
      </c>
      <c r="E18" s="19"/>
      <c r="F18" s="20">
        <v>0</v>
      </c>
      <c r="G18" s="19">
        <v>0</v>
      </c>
      <c r="H18" s="19">
        <v>0</v>
      </c>
      <c r="I18" s="19"/>
      <c r="J18" s="19"/>
      <c r="K18" s="19">
        <v>0</v>
      </c>
      <c r="L18" s="19"/>
      <c r="M18" s="19"/>
      <c r="N18" s="3">
        <v>0</v>
      </c>
      <c r="O18" s="21">
        <v>0</v>
      </c>
      <c r="P18" s="22">
        <v>0</v>
      </c>
      <c r="Q18" s="21">
        <v>0</v>
      </c>
      <c r="R18" s="21"/>
      <c r="S18" s="21">
        <v>0</v>
      </c>
      <c r="T18" s="23">
        <v>0</v>
      </c>
      <c r="U18" s="23"/>
      <c r="V18" s="23"/>
      <c r="W18" s="23"/>
      <c r="X18" s="23"/>
      <c r="Y18" s="24">
        <v>0</v>
      </c>
      <c r="Z18" s="22">
        <v>0</v>
      </c>
      <c r="AA18" s="22"/>
      <c r="AB18" s="23"/>
      <c r="AC18" s="19"/>
      <c r="AD18" s="26">
        <v>0</v>
      </c>
      <c r="AE18" s="26"/>
      <c r="AF18" s="27"/>
      <c r="AG18" s="27">
        <v>200</v>
      </c>
      <c r="AH18" s="27">
        <v>1425</v>
      </c>
      <c r="AI18" s="28"/>
      <c r="AJ18" s="28"/>
      <c r="AK18" s="19"/>
      <c r="AM18">
        <v>31200</v>
      </c>
      <c r="AN18" s="3">
        <f>SUM(E18:AK18)-AM18+AL18</f>
        <v>-29575</v>
      </c>
    </row>
    <row r="19" ht="15.75" spans="1:40">
      <c r="A19" s="17" t="s">
        <v>81</v>
      </c>
      <c r="B19" s="18" t="s">
        <v>82</v>
      </c>
      <c r="C19" s="18" t="s">
        <v>57</v>
      </c>
      <c r="D19" s="18" t="s">
        <v>58</v>
      </c>
      <c r="E19" s="19"/>
      <c r="F19" s="20">
        <v>0</v>
      </c>
      <c r="G19" s="19">
        <v>1010</v>
      </c>
      <c r="H19" s="19">
        <v>4800</v>
      </c>
      <c r="I19" s="19">
        <v>320</v>
      </c>
      <c r="J19" s="19"/>
      <c r="K19" s="19">
        <v>0</v>
      </c>
      <c r="L19" s="19"/>
      <c r="M19" s="19"/>
      <c r="N19" s="3">
        <v>23700</v>
      </c>
      <c r="O19" s="21">
        <v>600</v>
      </c>
      <c r="P19" s="22">
        <v>3600</v>
      </c>
      <c r="Q19" s="21">
        <v>1260</v>
      </c>
      <c r="R19" s="21">
        <v>10000</v>
      </c>
      <c r="S19" s="21">
        <v>3200</v>
      </c>
      <c r="T19" s="23">
        <v>0</v>
      </c>
      <c r="U19" s="23"/>
      <c r="V19" s="23"/>
      <c r="W19" s="23"/>
      <c r="X19" s="23"/>
      <c r="Y19" s="24">
        <v>800</v>
      </c>
      <c r="Z19" s="22">
        <v>80</v>
      </c>
      <c r="AA19" s="22"/>
      <c r="AB19" s="23"/>
      <c r="AC19" s="19">
        <v>250</v>
      </c>
      <c r="AD19" s="26"/>
      <c r="AE19" s="26"/>
      <c r="AF19" s="27"/>
      <c r="AG19" s="27">
        <v>100</v>
      </c>
      <c r="AH19" s="27">
        <v>1500</v>
      </c>
      <c r="AI19" s="28">
        <v>400</v>
      </c>
      <c r="AJ19" s="28"/>
      <c r="AK19" s="19"/>
      <c r="AM19">
        <v>31200</v>
      </c>
      <c r="AN19" s="3">
        <f>SUM(E19:AK19)-AM19+AL19</f>
        <v>20420</v>
      </c>
    </row>
    <row r="20" ht="15.75" spans="1:40">
      <c r="A20" s="17" t="s">
        <v>83</v>
      </c>
      <c r="B20" s="18" t="s">
        <v>84</v>
      </c>
      <c r="C20" s="18" t="s">
        <v>61</v>
      </c>
      <c r="D20" s="18" t="s">
        <v>58</v>
      </c>
      <c r="E20" s="19"/>
      <c r="F20" s="20">
        <v>0</v>
      </c>
      <c r="G20" s="19">
        <v>0</v>
      </c>
      <c r="H20" s="19">
        <v>0</v>
      </c>
      <c r="I20" s="19"/>
      <c r="J20" s="19"/>
      <c r="K20" s="19">
        <v>0</v>
      </c>
      <c r="L20" s="19">
        <v>1000</v>
      </c>
      <c r="M20" s="19"/>
      <c r="N20" s="3">
        <v>0</v>
      </c>
      <c r="O20" s="21">
        <v>0</v>
      </c>
      <c r="P20" s="22">
        <v>0</v>
      </c>
      <c r="Q20" s="21">
        <v>0</v>
      </c>
      <c r="R20" s="21"/>
      <c r="S20" s="21">
        <v>0</v>
      </c>
      <c r="T20" s="23">
        <v>0</v>
      </c>
      <c r="U20" s="23"/>
      <c r="V20" s="23"/>
      <c r="W20" s="23"/>
      <c r="X20" s="23"/>
      <c r="Y20" s="24">
        <v>0</v>
      </c>
      <c r="Z20" s="22">
        <v>0</v>
      </c>
      <c r="AA20" s="22"/>
      <c r="AB20" s="23"/>
      <c r="AC20" s="19">
        <v>530</v>
      </c>
      <c r="AD20" s="26">
        <v>0</v>
      </c>
      <c r="AE20" s="26"/>
      <c r="AF20" s="27"/>
      <c r="AG20" s="27">
        <v>200</v>
      </c>
      <c r="AH20" s="27">
        <v>1500</v>
      </c>
      <c r="AI20" s="28"/>
      <c r="AJ20" s="28"/>
      <c r="AK20" s="19"/>
      <c r="AM20">
        <v>31200</v>
      </c>
      <c r="AN20" s="3">
        <f>SUM(E20:AK20)-AM20+AL20</f>
        <v>-27970</v>
      </c>
    </row>
    <row r="21" ht="15.75" spans="1:40">
      <c r="A21" s="17" t="s">
        <v>85</v>
      </c>
      <c r="B21" s="18" t="s">
        <v>86</v>
      </c>
      <c r="C21" s="18" t="s">
        <v>57</v>
      </c>
      <c r="D21" s="18" t="s">
        <v>58</v>
      </c>
      <c r="E21" s="19"/>
      <c r="F21" s="20">
        <v>0</v>
      </c>
      <c r="G21" s="19">
        <v>0</v>
      </c>
      <c r="H21" s="19">
        <v>200</v>
      </c>
      <c r="I21" s="19"/>
      <c r="J21" s="19"/>
      <c r="K21" s="19">
        <v>0</v>
      </c>
      <c r="L21" s="19"/>
      <c r="M21" s="19"/>
      <c r="N21" s="3">
        <v>12000</v>
      </c>
      <c r="O21" s="21">
        <v>1200</v>
      </c>
      <c r="P21" s="22">
        <v>0</v>
      </c>
      <c r="Q21" s="21">
        <v>0</v>
      </c>
      <c r="R21" s="21"/>
      <c r="S21" s="21">
        <v>0</v>
      </c>
      <c r="T21" s="23">
        <v>0</v>
      </c>
      <c r="U21" s="23"/>
      <c r="V21" s="23"/>
      <c r="W21" s="23"/>
      <c r="X21" s="23"/>
      <c r="Y21" s="24">
        <v>0</v>
      </c>
      <c r="Z21" s="22">
        <v>0</v>
      </c>
      <c r="AA21" s="22">
        <v>5000</v>
      </c>
      <c r="AB21" s="23"/>
      <c r="AC21" s="19">
        <v>380</v>
      </c>
      <c r="AD21" s="26">
        <v>0</v>
      </c>
      <c r="AE21" s="26"/>
      <c r="AF21" s="27"/>
      <c r="AG21" s="27">
        <v>100</v>
      </c>
      <c r="AH21" s="27">
        <v>1350</v>
      </c>
      <c r="AI21" s="28"/>
      <c r="AJ21" s="28"/>
      <c r="AK21" s="19"/>
      <c r="AM21">
        <v>31200</v>
      </c>
      <c r="AN21" s="3">
        <f>SUM(E21:AK21)-AM21+AL21</f>
        <v>-10970</v>
      </c>
    </row>
    <row r="22" ht="15.75" spans="1:40">
      <c r="A22" s="17" t="s">
        <v>87</v>
      </c>
      <c r="B22" s="18" t="s">
        <v>88</v>
      </c>
      <c r="C22" s="18" t="s">
        <v>54</v>
      </c>
      <c r="D22" s="18" t="s">
        <v>58</v>
      </c>
      <c r="E22" s="19"/>
      <c r="F22" s="20">
        <v>0</v>
      </c>
      <c r="G22" s="19">
        <v>881.1</v>
      </c>
      <c r="H22" s="19">
        <v>0</v>
      </c>
      <c r="I22" s="19"/>
      <c r="J22" s="19"/>
      <c r="K22" s="19">
        <v>0</v>
      </c>
      <c r="L22" s="19"/>
      <c r="M22" s="19"/>
      <c r="N22" s="3">
        <v>0</v>
      </c>
      <c r="O22" s="21">
        <v>1200</v>
      </c>
      <c r="P22" s="22">
        <v>4200</v>
      </c>
      <c r="Q22" s="21">
        <v>3430</v>
      </c>
      <c r="R22" s="21"/>
      <c r="S22" s="21">
        <v>6080</v>
      </c>
      <c r="T22" s="23">
        <v>0</v>
      </c>
      <c r="U22" s="23"/>
      <c r="V22" s="23"/>
      <c r="W22" s="23"/>
      <c r="X22" s="23">
        <v>3600</v>
      </c>
      <c r="Y22" s="24">
        <v>800</v>
      </c>
      <c r="Z22" s="22">
        <v>0</v>
      </c>
      <c r="AA22" s="22"/>
      <c r="AB22" s="23"/>
      <c r="AC22" s="19">
        <v>750</v>
      </c>
      <c r="AD22" s="26">
        <v>6000</v>
      </c>
      <c r="AE22" s="26"/>
      <c r="AF22" s="27"/>
      <c r="AG22" s="27">
        <v>300</v>
      </c>
      <c r="AH22" s="27">
        <v>1500</v>
      </c>
      <c r="AI22" s="28">
        <v>400</v>
      </c>
      <c r="AJ22" s="28"/>
      <c r="AK22" s="19"/>
      <c r="AM22">
        <v>31200</v>
      </c>
      <c r="AN22" s="3">
        <f>SUM(E22:AK22)-AM22+AL22+12000</f>
        <v>9941.1</v>
      </c>
    </row>
    <row r="23" ht="15.75" spans="1:40">
      <c r="A23" s="17" t="s">
        <v>89</v>
      </c>
      <c r="B23" s="18" t="s">
        <v>90</v>
      </c>
      <c r="C23" s="18" t="s">
        <v>57</v>
      </c>
      <c r="D23" s="18" t="s">
        <v>58</v>
      </c>
      <c r="E23" s="19"/>
      <c r="F23" s="20">
        <v>0</v>
      </c>
      <c r="G23" s="19">
        <v>0</v>
      </c>
      <c r="H23" s="19">
        <v>0</v>
      </c>
      <c r="I23" s="19">
        <v>320</v>
      </c>
      <c r="J23" s="19"/>
      <c r="K23" s="19">
        <v>0</v>
      </c>
      <c r="L23" s="19"/>
      <c r="M23" s="19"/>
      <c r="N23" s="3">
        <v>0</v>
      </c>
      <c r="O23" s="21">
        <v>600</v>
      </c>
      <c r="P23" s="22">
        <v>0</v>
      </c>
      <c r="Q23" s="21">
        <v>0</v>
      </c>
      <c r="R23" s="21"/>
      <c r="S23" s="21">
        <v>0</v>
      </c>
      <c r="T23" s="23">
        <v>0</v>
      </c>
      <c r="U23" s="23"/>
      <c r="V23" s="23"/>
      <c r="W23" s="23"/>
      <c r="X23" s="23"/>
      <c r="Y23" s="24">
        <v>0</v>
      </c>
      <c r="Z23" s="22">
        <v>0</v>
      </c>
      <c r="AA23" s="22"/>
      <c r="AB23" s="23"/>
      <c r="AC23" s="19">
        <v>430</v>
      </c>
      <c r="AD23" s="26">
        <v>0</v>
      </c>
      <c r="AE23" s="26"/>
      <c r="AF23" s="27"/>
      <c r="AG23" s="27">
        <v>200</v>
      </c>
      <c r="AH23" s="27">
        <v>1500</v>
      </c>
      <c r="AI23" s="28"/>
      <c r="AJ23" s="28"/>
      <c r="AK23" s="19"/>
      <c r="AL23" s="5">
        <v>-1659.84</v>
      </c>
      <c r="AM23">
        <v>15200</v>
      </c>
      <c r="AN23" s="3">
        <f>SUM(E23:AK23)-AM23+AL23</f>
        <v>-13809.84</v>
      </c>
    </row>
    <row r="24" ht="15.75" spans="1:40">
      <c r="A24" s="17" t="s">
        <v>91</v>
      </c>
      <c r="B24" s="18" t="s">
        <v>92</v>
      </c>
      <c r="C24" s="18" t="s">
        <v>51</v>
      </c>
      <c r="D24" s="18" t="s">
        <v>58</v>
      </c>
      <c r="E24" s="19"/>
      <c r="F24" s="20">
        <v>0</v>
      </c>
      <c r="G24" s="19">
        <v>400</v>
      </c>
      <c r="H24" s="19">
        <v>3600</v>
      </c>
      <c r="I24" s="19"/>
      <c r="J24" s="19"/>
      <c r="K24" s="19">
        <v>0</v>
      </c>
      <c r="L24" s="19"/>
      <c r="M24" s="19"/>
      <c r="N24" s="3">
        <v>150</v>
      </c>
      <c r="O24" s="21">
        <v>1800</v>
      </c>
      <c r="P24" s="22">
        <v>0</v>
      </c>
      <c r="Q24" s="21">
        <v>350</v>
      </c>
      <c r="R24" s="21"/>
      <c r="S24" s="21">
        <v>0</v>
      </c>
      <c r="T24" s="23">
        <v>0</v>
      </c>
      <c r="U24" s="23"/>
      <c r="V24" s="23"/>
      <c r="W24" s="23"/>
      <c r="X24" s="23"/>
      <c r="Y24" s="24">
        <v>0</v>
      </c>
      <c r="Z24" s="22">
        <v>0</v>
      </c>
      <c r="AA24" s="22"/>
      <c r="AB24" s="23"/>
      <c r="AC24" s="19">
        <v>300</v>
      </c>
      <c r="AD24" s="26">
        <v>0</v>
      </c>
      <c r="AE24" s="26"/>
      <c r="AF24" s="27"/>
      <c r="AG24" s="27">
        <v>300</v>
      </c>
      <c r="AH24" s="27">
        <v>1500</v>
      </c>
      <c r="AI24" s="28"/>
      <c r="AJ24" s="28"/>
      <c r="AK24" s="19"/>
      <c r="AL24" s="5"/>
      <c r="AM24">
        <v>31200</v>
      </c>
      <c r="AN24" s="3">
        <f>SUM(E24:AK24)-AM24+AL24</f>
        <v>-22800</v>
      </c>
    </row>
    <row r="25" ht="15.75" spans="1:40">
      <c r="A25" s="17" t="s">
        <v>93</v>
      </c>
      <c r="B25" s="18" t="s">
        <v>94</v>
      </c>
      <c r="C25" s="18" t="s">
        <v>95</v>
      </c>
      <c r="D25" s="18" t="s">
        <v>58</v>
      </c>
      <c r="E25" s="19"/>
      <c r="F25" s="20">
        <v>0</v>
      </c>
      <c r="G25" s="19">
        <v>550</v>
      </c>
      <c r="H25" s="19">
        <v>0</v>
      </c>
      <c r="I25" s="19"/>
      <c r="J25" s="19"/>
      <c r="K25" s="19">
        <v>0</v>
      </c>
      <c r="L25" s="19"/>
      <c r="M25" s="19"/>
      <c r="N25" s="3">
        <v>0</v>
      </c>
      <c r="O25" s="21">
        <v>1800</v>
      </c>
      <c r="P25" s="22">
        <v>600</v>
      </c>
      <c r="Q25" s="21">
        <v>245</v>
      </c>
      <c r="R25" s="21"/>
      <c r="S25" s="21">
        <v>0</v>
      </c>
      <c r="T25" s="23">
        <v>1382.4</v>
      </c>
      <c r="U25" s="23"/>
      <c r="V25" s="23"/>
      <c r="W25" s="23"/>
      <c r="X25" s="23"/>
      <c r="Y25" s="24">
        <v>1600</v>
      </c>
      <c r="Z25" s="22">
        <v>0</v>
      </c>
      <c r="AA25" s="22"/>
      <c r="AB25" s="23"/>
      <c r="AC25" s="19">
        <v>300</v>
      </c>
      <c r="AD25" s="26">
        <v>0</v>
      </c>
      <c r="AE25" s="26"/>
      <c r="AF25" s="27"/>
      <c r="AG25" s="27">
        <v>200</v>
      </c>
      <c r="AH25" s="27">
        <v>1500</v>
      </c>
      <c r="AI25" s="28"/>
      <c r="AJ25" s="28"/>
      <c r="AK25" s="32"/>
      <c r="AM25">
        <v>31200</v>
      </c>
      <c r="AN25" s="3">
        <f>SUM(E25:AK25)-AM25+AL25</f>
        <v>-23022.6</v>
      </c>
    </row>
    <row r="26" ht="15.75" spans="1:40">
      <c r="A26" s="17" t="s">
        <v>96</v>
      </c>
      <c r="B26" s="18" t="s">
        <v>97</v>
      </c>
      <c r="C26" s="18" t="s">
        <v>95</v>
      </c>
      <c r="D26" s="18" t="s">
        <v>58</v>
      </c>
      <c r="E26" s="19"/>
      <c r="F26" s="20">
        <v>0</v>
      </c>
      <c r="G26" s="19">
        <v>300</v>
      </c>
      <c r="H26" s="19">
        <v>1200</v>
      </c>
      <c r="I26" s="19"/>
      <c r="J26" s="19"/>
      <c r="K26" s="19">
        <v>0</v>
      </c>
      <c r="L26" s="19"/>
      <c r="M26" s="19"/>
      <c r="N26" s="3">
        <v>0</v>
      </c>
      <c r="O26" s="21">
        <v>1200</v>
      </c>
      <c r="P26" s="22">
        <v>600</v>
      </c>
      <c r="Q26" s="21">
        <v>420</v>
      </c>
      <c r="R26" s="21"/>
      <c r="S26" s="21">
        <v>480</v>
      </c>
      <c r="T26" s="23">
        <v>1584</v>
      </c>
      <c r="U26" s="23"/>
      <c r="V26" s="23"/>
      <c r="W26" s="23"/>
      <c r="X26" s="23"/>
      <c r="Y26" s="24">
        <v>0</v>
      </c>
      <c r="Z26" s="22">
        <v>0</v>
      </c>
      <c r="AA26" s="22"/>
      <c r="AB26" s="23"/>
      <c r="AC26" s="19">
        <v>600</v>
      </c>
      <c r="AD26" s="26">
        <v>0</v>
      </c>
      <c r="AE26" s="26"/>
      <c r="AF26" s="27"/>
      <c r="AG26" s="27">
        <v>200</v>
      </c>
      <c r="AH26" s="27">
        <v>1500</v>
      </c>
      <c r="AI26" s="28"/>
      <c r="AJ26" s="28"/>
      <c r="AK26" s="19"/>
      <c r="AL26" s="5">
        <v>-5095.88</v>
      </c>
      <c r="AM26">
        <v>15200</v>
      </c>
      <c r="AN26" s="3">
        <f>SUM(E26:AK26)-AM26+AL26</f>
        <v>-12211.88</v>
      </c>
    </row>
    <row r="27" ht="15.75" spans="1:40">
      <c r="A27" s="17" t="s">
        <v>98</v>
      </c>
      <c r="B27" s="18" t="s">
        <v>99</v>
      </c>
      <c r="C27" s="18" t="s">
        <v>57</v>
      </c>
      <c r="D27" s="18" t="s">
        <v>58</v>
      </c>
      <c r="E27" s="19"/>
      <c r="F27" s="20">
        <v>0</v>
      </c>
      <c r="G27" s="19">
        <v>300</v>
      </c>
      <c r="H27" s="19">
        <v>2400</v>
      </c>
      <c r="I27" s="19">
        <v>320</v>
      </c>
      <c r="J27" s="19"/>
      <c r="K27" s="19">
        <v>0</v>
      </c>
      <c r="L27" s="19"/>
      <c r="M27" s="19">
        <v>1000</v>
      </c>
      <c r="N27" s="3">
        <v>27540</v>
      </c>
      <c r="O27" s="21">
        <v>1800</v>
      </c>
      <c r="P27" s="22">
        <v>2400</v>
      </c>
      <c r="Q27" s="21">
        <v>9310</v>
      </c>
      <c r="R27" s="21"/>
      <c r="S27" s="21">
        <v>0</v>
      </c>
      <c r="T27" s="23">
        <v>0</v>
      </c>
      <c r="U27" s="23"/>
      <c r="V27" s="23"/>
      <c r="W27" s="23">
        <v>6000</v>
      </c>
      <c r="X27" s="23">
        <v>3900</v>
      </c>
      <c r="Y27" s="24">
        <v>2000</v>
      </c>
      <c r="Z27" s="22">
        <v>0</v>
      </c>
      <c r="AA27" s="22">
        <v>3500</v>
      </c>
      <c r="AB27" s="23"/>
      <c r="AC27" s="19">
        <v>160</v>
      </c>
      <c r="AD27" s="26">
        <v>4800</v>
      </c>
      <c r="AE27" s="26"/>
      <c r="AF27" s="27"/>
      <c r="AG27" s="27">
        <v>300</v>
      </c>
      <c r="AH27" s="27">
        <v>1500</v>
      </c>
      <c r="AI27" s="28"/>
      <c r="AJ27" s="28"/>
      <c r="AK27" s="19"/>
      <c r="AL27" s="5"/>
      <c r="AM27">
        <v>31200</v>
      </c>
      <c r="AN27" s="3">
        <f>SUM(E27:AK27)-AM27+AL27</f>
        <v>36030</v>
      </c>
    </row>
    <row r="28" ht="15.75" spans="1:40">
      <c r="A28" s="17" t="s">
        <v>100</v>
      </c>
      <c r="B28" s="18" t="s">
        <v>101</v>
      </c>
      <c r="C28" s="18" t="s">
        <v>102</v>
      </c>
      <c r="D28" s="18" t="s">
        <v>58</v>
      </c>
      <c r="E28" s="19">
        <v>1500</v>
      </c>
      <c r="F28" s="20">
        <v>0</v>
      </c>
      <c r="G28" s="19">
        <v>1735</v>
      </c>
      <c r="H28" s="19">
        <v>6000</v>
      </c>
      <c r="I28" s="19">
        <v>2000</v>
      </c>
      <c r="J28" s="19"/>
      <c r="K28" s="19">
        <v>0</v>
      </c>
      <c r="L28" s="19"/>
      <c r="M28" s="19"/>
      <c r="N28" s="3">
        <v>0</v>
      </c>
      <c r="O28" s="21">
        <v>1800</v>
      </c>
      <c r="P28" s="22">
        <v>1800</v>
      </c>
      <c r="Q28" s="21">
        <v>4270</v>
      </c>
      <c r="R28" s="21"/>
      <c r="S28" s="21">
        <v>1680</v>
      </c>
      <c r="T28" s="23">
        <v>0</v>
      </c>
      <c r="U28" s="23"/>
      <c r="V28" s="23"/>
      <c r="W28" s="23">
        <v>6000</v>
      </c>
      <c r="X28" s="23">
        <v>3600</v>
      </c>
      <c r="Y28" s="24">
        <v>1200</v>
      </c>
      <c r="Z28" s="22">
        <v>240</v>
      </c>
      <c r="AA28" s="22"/>
      <c r="AB28" s="23"/>
      <c r="AC28" s="19">
        <v>500</v>
      </c>
      <c r="AD28" s="26">
        <v>8200</v>
      </c>
      <c r="AE28" s="26"/>
      <c r="AF28" s="27"/>
      <c r="AG28" s="27">
        <v>100</v>
      </c>
      <c r="AH28" s="27">
        <v>1500</v>
      </c>
      <c r="AI28" s="28">
        <v>800</v>
      </c>
      <c r="AJ28" s="28"/>
      <c r="AK28" s="19"/>
      <c r="AM28">
        <v>31200</v>
      </c>
      <c r="AN28" s="3">
        <f>SUM(E28:AK28)-AM28+AL28</f>
        <v>11725</v>
      </c>
    </row>
    <row r="29" ht="15.75" spans="1:40">
      <c r="A29" s="17" t="s">
        <v>103</v>
      </c>
      <c r="B29" s="18" t="s">
        <v>104</v>
      </c>
      <c r="C29" s="18" t="s">
        <v>57</v>
      </c>
      <c r="D29" s="18" t="s">
        <v>58</v>
      </c>
      <c r="E29" s="19"/>
      <c r="F29" s="20">
        <v>0</v>
      </c>
      <c r="G29" s="19">
        <v>0</v>
      </c>
      <c r="H29" s="19">
        <v>0</v>
      </c>
      <c r="I29" s="19"/>
      <c r="J29" s="19"/>
      <c r="K29" s="19">
        <v>0</v>
      </c>
      <c r="L29" s="19"/>
      <c r="M29" s="19"/>
      <c r="N29" s="3">
        <v>0</v>
      </c>
      <c r="O29" s="21">
        <v>1800</v>
      </c>
      <c r="P29" s="22">
        <v>0</v>
      </c>
      <c r="Q29" s="21">
        <v>0</v>
      </c>
      <c r="R29" s="21"/>
      <c r="S29" s="21">
        <v>0</v>
      </c>
      <c r="T29" s="23">
        <v>3733.52</v>
      </c>
      <c r="U29" s="23"/>
      <c r="V29" s="23"/>
      <c r="W29" s="23"/>
      <c r="X29" s="23"/>
      <c r="Y29" s="24">
        <v>400</v>
      </c>
      <c r="Z29" s="22">
        <v>0</v>
      </c>
      <c r="AA29" s="22"/>
      <c r="AB29" s="23"/>
      <c r="AC29" s="19">
        <v>630</v>
      </c>
      <c r="AD29" s="26">
        <v>0</v>
      </c>
      <c r="AE29" s="26"/>
      <c r="AF29" s="27"/>
      <c r="AG29" s="27">
        <v>300</v>
      </c>
      <c r="AH29" s="27">
        <v>1500</v>
      </c>
      <c r="AI29" s="28"/>
      <c r="AJ29" s="28"/>
      <c r="AK29" s="19"/>
      <c r="AM29">
        <v>31200</v>
      </c>
      <c r="AN29" s="3">
        <f>SUM(E29:AK29)-AM29+AL29</f>
        <v>-22836.48</v>
      </c>
    </row>
    <row r="30" ht="15.75" spans="1:40">
      <c r="A30" s="17" t="s">
        <v>105</v>
      </c>
      <c r="B30" s="18" t="s">
        <v>106</v>
      </c>
      <c r="C30" s="18" t="s">
        <v>54</v>
      </c>
      <c r="D30" s="18" t="s">
        <v>58</v>
      </c>
      <c r="E30" s="19"/>
      <c r="F30" s="20">
        <v>0</v>
      </c>
      <c r="G30" s="19">
        <v>0</v>
      </c>
      <c r="H30" s="19">
        <v>0</v>
      </c>
      <c r="I30" s="19">
        <v>160</v>
      </c>
      <c r="J30" s="19"/>
      <c r="K30" s="19">
        <v>0</v>
      </c>
      <c r="L30" s="19"/>
      <c r="M30" s="19"/>
      <c r="N30" s="3">
        <v>0</v>
      </c>
      <c r="O30" s="21">
        <v>600</v>
      </c>
      <c r="P30" s="22">
        <v>1200</v>
      </c>
      <c r="Q30" s="21">
        <v>2590</v>
      </c>
      <c r="R30" s="21"/>
      <c r="S30" s="21">
        <v>0</v>
      </c>
      <c r="T30" s="23">
        <v>1718.4</v>
      </c>
      <c r="U30" s="23"/>
      <c r="V30" s="23"/>
      <c r="W30" s="23">
        <v>6000</v>
      </c>
      <c r="X30" s="23"/>
      <c r="Y30" s="24">
        <v>2000</v>
      </c>
      <c r="Z30" s="22">
        <v>0</v>
      </c>
      <c r="AA30" s="22"/>
      <c r="AB30" s="23"/>
      <c r="AC30" s="19">
        <v>730</v>
      </c>
      <c r="AD30" s="26">
        <v>0</v>
      </c>
      <c r="AE30" s="26"/>
      <c r="AF30" s="27"/>
      <c r="AG30" s="27">
        <v>100</v>
      </c>
      <c r="AH30" s="27">
        <v>1500</v>
      </c>
      <c r="AI30" s="28"/>
      <c r="AJ30" s="28"/>
      <c r="AK30" s="19"/>
      <c r="AL30" s="5">
        <v>-5360.14</v>
      </c>
      <c r="AM30">
        <v>15200</v>
      </c>
      <c r="AN30" s="3">
        <f>SUM(E30:AK30)-AM30+AL30</f>
        <v>-3961.74</v>
      </c>
    </row>
    <row r="31" ht="15.75" spans="1:40">
      <c r="A31" s="17" t="s">
        <v>107</v>
      </c>
      <c r="B31" s="18" t="s">
        <v>108</v>
      </c>
      <c r="C31" s="18" t="s">
        <v>68</v>
      </c>
      <c r="D31" s="18" t="s">
        <v>58</v>
      </c>
      <c r="E31" s="19"/>
      <c r="F31" s="20">
        <v>0</v>
      </c>
      <c r="G31" s="19">
        <v>0</v>
      </c>
      <c r="H31" s="19">
        <v>0</v>
      </c>
      <c r="I31" s="19">
        <v>640</v>
      </c>
      <c r="J31" s="19"/>
      <c r="K31" s="19">
        <v>0</v>
      </c>
      <c r="L31" s="19"/>
      <c r="M31" s="19"/>
      <c r="N31" s="3">
        <v>0</v>
      </c>
      <c r="O31" s="21">
        <v>0</v>
      </c>
      <c r="P31" s="22">
        <v>0</v>
      </c>
      <c r="Q31" s="21">
        <v>0</v>
      </c>
      <c r="R31" s="21"/>
      <c r="S31" s="21">
        <v>0</v>
      </c>
      <c r="T31" s="23">
        <v>0</v>
      </c>
      <c r="U31" s="23"/>
      <c r="V31" s="23"/>
      <c r="W31" s="23"/>
      <c r="X31" s="23"/>
      <c r="Y31" s="24">
        <v>0</v>
      </c>
      <c r="Z31" s="22">
        <v>0</v>
      </c>
      <c r="AA31" s="22"/>
      <c r="AB31" s="23"/>
      <c r="AC31" s="19"/>
      <c r="AD31" s="26">
        <v>0</v>
      </c>
      <c r="AE31" s="26"/>
      <c r="AF31" s="27"/>
      <c r="AG31" s="27">
        <v>400</v>
      </c>
      <c r="AH31" s="27">
        <v>1500</v>
      </c>
      <c r="AI31" s="28">
        <v>300</v>
      </c>
      <c r="AJ31" s="28"/>
      <c r="AK31" s="19"/>
      <c r="AM31">
        <v>31200</v>
      </c>
      <c r="AN31" s="3">
        <f>SUM(E31:AK31)-AM31+AL31</f>
        <v>-28360</v>
      </c>
    </row>
    <row r="32" ht="15.75" spans="1:40">
      <c r="A32" s="17" t="s">
        <v>109</v>
      </c>
      <c r="B32" s="18" t="s">
        <v>110</v>
      </c>
      <c r="C32" s="18" t="s">
        <v>51</v>
      </c>
      <c r="D32" s="18" t="s">
        <v>58</v>
      </c>
      <c r="E32" s="19"/>
      <c r="F32" s="20">
        <v>0</v>
      </c>
      <c r="G32" s="19">
        <v>1000</v>
      </c>
      <c r="H32" s="19">
        <v>7200</v>
      </c>
      <c r="I32" s="19">
        <v>24480</v>
      </c>
      <c r="J32" s="19"/>
      <c r="K32" s="19">
        <v>0</v>
      </c>
      <c r="L32" s="19"/>
      <c r="M32" s="19"/>
      <c r="N32" s="3">
        <v>0</v>
      </c>
      <c r="O32" s="21">
        <v>600</v>
      </c>
      <c r="P32" s="22">
        <v>600</v>
      </c>
      <c r="Q32" s="21">
        <v>0</v>
      </c>
      <c r="R32" s="21"/>
      <c r="S32" s="21">
        <v>0</v>
      </c>
      <c r="T32" s="23">
        <v>0</v>
      </c>
      <c r="U32" s="23"/>
      <c r="V32" s="23"/>
      <c r="W32" s="23"/>
      <c r="X32" s="23"/>
      <c r="Y32" s="24">
        <v>0</v>
      </c>
      <c r="Z32" s="22">
        <v>0</v>
      </c>
      <c r="AA32" s="22"/>
      <c r="AB32" s="23"/>
      <c r="AC32" s="19">
        <v>230</v>
      </c>
      <c r="AD32" s="26">
        <v>0</v>
      </c>
      <c r="AE32" s="26"/>
      <c r="AF32" s="27"/>
      <c r="AG32" s="27">
        <v>0</v>
      </c>
      <c r="AH32" s="27">
        <v>900</v>
      </c>
      <c r="AI32" s="28"/>
      <c r="AJ32" s="28"/>
      <c r="AK32" s="19"/>
      <c r="AM32">
        <v>31200</v>
      </c>
      <c r="AN32" s="3">
        <f>SUM(E32:AK32)-AM32+AL32</f>
        <v>3810</v>
      </c>
    </row>
    <row r="33" ht="15.75" spans="1:40">
      <c r="A33" s="17" t="s">
        <v>111</v>
      </c>
      <c r="B33" s="18" t="s">
        <v>112</v>
      </c>
      <c r="C33" s="18" t="s">
        <v>95</v>
      </c>
      <c r="D33" s="18" t="s">
        <v>58</v>
      </c>
      <c r="E33" s="19"/>
      <c r="F33" s="20">
        <v>0</v>
      </c>
      <c r="G33" s="19">
        <v>1985</v>
      </c>
      <c r="H33" s="19">
        <v>1200</v>
      </c>
      <c r="I33" s="19">
        <v>480</v>
      </c>
      <c r="J33" s="19"/>
      <c r="K33" s="19">
        <v>0</v>
      </c>
      <c r="L33" s="19"/>
      <c r="M33" s="19">
        <v>1000</v>
      </c>
      <c r="N33" s="3">
        <v>0</v>
      </c>
      <c r="O33" s="21">
        <v>600</v>
      </c>
      <c r="P33" s="22">
        <v>3600</v>
      </c>
      <c r="Q33" s="21">
        <v>2975</v>
      </c>
      <c r="R33" s="21"/>
      <c r="S33" s="21">
        <v>720</v>
      </c>
      <c r="T33" s="23">
        <v>0</v>
      </c>
      <c r="U33" s="23"/>
      <c r="V33" s="23"/>
      <c r="W33" s="23">
        <v>4000</v>
      </c>
      <c r="X33" s="23">
        <v>3700</v>
      </c>
      <c r="Y33" s="24">
        <v>1920</v>
      </c>
      <c r="Z33" s="22">
        <v>0</v>
      </c>
      <c r="AA33" s="22"/>
      <c r="AB33" s="23"/>
      <c r="AC33" s="19">
        <v>830</v>
      </c>
      <c r="AD33" s="26">
        <v>7500</v>
      </c>
      <c r="AE33" s="26"/>
      <c r="AF33" s="27"/>
      <c r="AG33" s="27">
        <v>550</v>
      </c>
      <c r="AH33" s="27">
        <v>1500</v>
      </c>
      <c r="AI33" s="28">
        <v>400</v>
      </c>
      <c r="AJ33" s="28"/>
      <c r="AK33" s="19"/>
      <c r="AM33">
        <v>31200</v>
      </c>
      <c r="AN33" s="3">
        <f>SUM(E33:AK33)-AM33+AL33</f>
        <v>1760</v>
      </c>
    </row>
    <row r="34" ht="15.75" spans="1:40">
      <c r="A34" s="17" t="s">
        <v>113</v>
      </c>
      <c r="B34" s="18" t="s">
        <v>114</v>
      </c>
      <c r="C34" s="18" t="s">
        <v>68</v>
      </c>
      <c r="D34" s="18" t="s">
        <v>58</v>
      </c>
      <c r="E34" s="19">
        <v>500</v>
      </c>
      <c r="F34" s="20">
        <v>0</v>
      </c>
      <c r="G34" s="19">
        <v>0</v>
      </c>
      <c r="H34" s="19">
        <v>0</v>
      </c>
      <c r="I34" s="19">
        <v>200</v>
      </c>
      <c r="J34" s="19"/>
      <c r="K34" s="19">
        <v>0</v>
      </c>
      <c r="L34" s="19"/>
      <c r="M34" s="19"/>
      <c r="N34" s="3">
        <v>0</v>
      </c>
      <c r="O34" s="21">
        <v>300</v>
      </c>
      <c r="P34" s="22">
        <v>0</v>
      </c>
      <c r="Q34" s="21">
        <v>0</v>
      </c>
      <c r="R34" s="21"/>
      <c r="S34" s="21">
        <v>0</v>
      </c>
      <c r="T34" s="23">
        <v>0</v>
      </c>
      <c r="U34" s="23"/>
      <c r="V34" s="23"/>
      <c r="W34" s="23"/>
      <c r="X34" s="23"/>
      <c r="Y34" s="24">
        <v>0</v>
      </c>
      <c r="Z34" s="22">
        <v>0</v>
      </c>
      <c r="AA34" s="22"/>
      <c r="AB34" s="23"/>
      <c r="AC34" s="19">
        <v>200</v>
      </c>
      <c r="AD34" s="26"/>
      <c r="AE34" s="26"/>
      <c r="AF34" s="27"/>
      <c r="AG34" s="27">
        <v>100</v>
      </c>
      <c r="AH34" s="27">
        <v>150</v>
      </c>
      <c r="AI34" s="28"/>
      <c r="AJ34" s="28"/>
      <c r="AK34" s="19"/>
      <c r="AM34">
        <v>5200</v>
      </c>
      <c r="AN34" s="3">
        <f>SUM(E34:AK34)-AM34+AL34</f>
        <v>-3750</v>
      </c>
    </row>
    <row r="35" ht="15.75" spans="1:40">
      <c r="A35" s="17" t="s">
        <v>115</v>
      </c>
      <c r="B35" s="18" t="s">
        <v>116</v>
      </c>
      <c r="C35" s="18" t="s">
        <v>51</v>
      </c>
      <c r="D35" s="18" t="s">
        <v>58</v>
      </c>
      <c r="E35" s="19"/>
      <c r="F35" s="20">
        <v>0</v>
      </c>
      <c r="G35" s="19">
        <v>700</v>
      </c>
      <c r="H35" s="19">
        <v>8600</v>
      </c>
      <c r="I35" s="19">
        <v>1600</v>
      </c>
      <c r="J35" s="19"/>
      <c r="K35" s="19">
        <v>0</v>
      </c>
      <c r="L35" s="19"/>
      <c r="M35" s="19"/>
      <c r="N35" s="3">
        <v>21825</v>
      </c>
      <c r="O35" s="21">
        <v>1800</v>
      </c>
      <c r="P35" s="22">
        <v>1200</v>
      </c>
      <c r="Q35" s="21">
        <v>0</v>
      </c>
      <c r="R35" s="21"/>
      <c r="S35" s="21">
        <v>0</v>
      </c>
      <c r="T35" s="23">
        <v>0</v>
      </c>
      <c r="U35" s="23"/>
      <c r="V35" s="23"/>
      <c r="W35" s="23"/>
      <c r="X35" s="23"/>
      <c r="Y35" s="24">
        <v>0</v>
      </c>
      <c r="Z35" s="22">
        <v>0</v>
      </c>
      <c r="AA35" s="22"/>
      <c r="AB35" s="23"/>
      <c r="AC35" s="19">
        <v>350</v>
      </c>
      <c r="AD35" s="26">
        <v>0</v>
      </c>
      <c r="AE35" s="26"/>
      <c r="AF35" s="27"/>
      <c r="AG35" s="27">
        <v>200</v>
      </c>
      <c r="AH35" s="27">
        <v>1500</v>
      </c>
      <c r="AI35" s="28">
        <v>400</v>
      </c>
      <c r="AJ35" s="28"/>
      <c r="AK35" s="19"/>
      <c r="AM35">
        <v>31200</v>
      </c>
      <c r="AN35" s="3">
        <f>SUM(E35:AK35)-AM35+AL35</f>
        <v>6975</v>
      </c>
    </row>
    <row r="36" ht="15.75" spans="1:40">
      <c r="A36" s="17" t="s">
        <v>117</v>
      </c>
      <c r="B36" s="18" t="s">
        <v>118</v>
      </c>
      <c r="C36" s="18" t="s">
        <v>95</v>
      </c>
      <c r="D36" s="18" t="s">
        <v>58</v>
      </c>
      <c r="E36" s="19"/>
      <c r="F36" s="20">
        <v>0</v>
      </c>
      <c r="G36" s="19">
        <v>660</v>
      </c>
      <c r="H36" s="19">
        <v>2600</v>
      </c>
      <c r="I36" s="19">
        <v>2080</v>
      </c>
      <c r="J36" s="19"/>
      <c r="K36" s="19">
        <v>0</v>
      </c>
      <c r="L36" s="19"/>
      <c r="M36" s="19"/>
      <c r="N36" s="3">
        <v>0</v>
      </c>
      <c r="O36" s="21">
        <v>1800</v>
      </c>
      <c r="P36" s="22">
        <v>1200</v>
      </c>
      <c r="Q36" s="21">
        <v>2450</v>
      </c>
      <c r="R36" s="21"/>
      <c r="S36" s="21">
        <v>0</v>
      </c>
      <c r="T36" s="23">
        <v>0</v>
      </c>
      <c r="U36" s="23"/>
      <c r="V36" s="23"/>
      <c r="W36" s="23">
        <v>10000</v>
      </c>
      <c r="X36" s="23">
        <v>1200</v>
      </c>
      <c r="Y36" s="24">
        <v>3120</v>
      </c>
      <c r="Z36" s="22">
        <v>0</v>
      </c>
      <c r="AA36" s="22"/>
      <c r="AB36" s="23"/>
      <c r="AC36" s="19">
        <v>3230</v>
      </c>
      <c r="AD36" s="26">
        <v>4000</v>
      </c>
      <c r="AE36" s="26"/>
      <c r="AF36" s="27"/>
      <c r="AG36" s="27">
        <v>0</v>
      </c>
      <c r="AH36" s="27">
        <v>1500</v>
      </c>
      <c r="AI36" s="28">
        <v>400</v>
      </c>
      <c r="AJ36" s="28"/>
      <c r="AK36" s="19">
        <v>1000</v>
      </c>
      <c r="AM36">
        <v>31200</v>
      </c>
      <c r="AN36" s="3">
        <f>SUM(E36:AK36)-AM36+AL36</f>
        <v>4040</v>
      </c>
    </row>
    <row r="37" ht="15.75" spans="1:40">
      <c r="A37" s="17" t="s">
        <v>119</v>
      </c>
      <c r="B37" s="18" t="s">
        <v>120</v>
      </c>
      <c r="C37" s="18" t="s">
        <v>51</v>
      </c>
      <c r="D37" s="18" t="s">
        <v>58</v>
      </c>
      <c r="E37" s="19"/>
      <c r="F37" s="20">
        <v>0</v>
      </c>
      <c r="G37" s="19">
        <v>190</v>
      </c>
      <c r="H37" s="19">
        <v>200</v>
      </c>
      <c r="I37" s="19">
        <v>3680</v>
      </c>
      <c r="J37" s="19"/>
      <c r="K37" s="19">
        <v>0</v>
      </c>
      <c r="L37" s="19"/>
      <c r="M37" s="19"/>
      <c r="N37" s="3">
        <v>3000</v>
      </c>
      <c r="O37" s="21">
        <v>1800</v>
      </c>
      <c r="P37" s="22">
        <v>1800</v>
      </c>
      <c r="Q37" s="21">
        <v>0</v>
      </c>
      <c r="R37" s="21"/>
      <c r="S37" s="21">
        <v>480</v>
      </c>
      <c r="T37" s="23">
        <v>0</v>
      </c>
      <c r="U37" s="23"/>
      <c r="V37" s="23"/>
      <c r="W37" s="23"/>
      <c r="X37" s="23"/>
      <c r="Y37" s="24">
        <v>880</v>
      </c>
      <c r="Z37" s="22">
        <v>0</v>
      </c>
      <c r="AA37" s="22"/>
      <c r="AB37" s="23"/>
      <c r="AC37" s="19">
        <v>480</v>
      </c>
      <c r="AD37" s="26">
        <v>4000</v>
      </c>
      <c r="AE37" s="26"/>
      <c r="AF37" s="27"/>
      <c r="AG37" s="27">
        <v>200</v>
      </c>
      <c r="AH37" s="27">
        <v>1500</v>
      </c>
      <c r="AI37" s="28">
        <v>400</v>
      </c>
      <c r="AJ37" s="28"/>
      <c r="AK37" s="19"/>
      <c r="AM37">
        <v>31200</v>
      </c>
      <c r="AN37" s="3">
        <f>SUM(E37:AK37)-AM37+AL37</f>
        <v>-12590</v>
      </c>
    </row>
    <row r="38" ht="15.75" spans="1:40">
      <c r="A38" s="17" t="s">
        <v>121</v>
      </c>
      <c r="B38" s="18" t="s">
        <v>122</v>
      </c>
      <c r="C38" s="18" t="s">
        <v>51</v>
      </c>
      <c r="D38" s="18" t="s">
        <v>58</v>
      </c>
      <c r="E38" s="19"/>
      <c r="F38" s="20">
        <v>0</v>
      </c>
      <c r="G38" s="19">
        <v>2000</v>
      </c>
      <c r="H38" s="19">
        <v>10800</v>
      </c>
      <c r="I38" s="19">
        <v>4640</v>
      </c>
      <c r="J38" s="19"/>
      <c r="K38" s="19">
        <v>0</v>
      </c>
      <c r="L38" s="19"/>
      <c r="M38" s="19"/>
      <c r="N38" s="3">
        <v>21750</v>
      </c>
      <c r="O38" s="21">
        <v>0</v>
      </c>
      <c r="P38" s="22">
        <v>600</v>
      </c>
      <c r="Q38" s="21">
        <v>0</v>
      </c>
      <c r="R38" s="21"/>
      <c r="S38" s="21">
        <v>0</v>
      </c>
      <c r="T38" s="23">
        <v>0</v>
      </c>
      <c r="U38" s="23"/>
      <c r="V38" s="23"/>
      <c r="W38" s="23"/>
      <c r="X38" s="23"/>
      <c r="Y38" s="24">
        <v>0</v>
      </c>
      <c r="Z38" s="22">
        <v>0</v>
      </c>
      <c r="AA38" s="22"/>
      <c r="AB38" s="23"/>
      <c r="AC38" s="19">
        <v>300</v>
      </c>
      <c r="AD38" s="26">
        <v>0</v>
      </c>
      <c r="AE38" s="26"/>
      <c r="AF38" s="27"/>
      <c r="AG38" s="27">
        <v>0</v>
      </c>
      <c r="AH38" s="27">
        <v>1500</v>
      </c>
      <c r="AI38" s="28">
        <v>400</v>
      </c>
      <c r="AJ38" s="28"/>
      <c r="AK38" s="19"/>
      <c r="AM38">
        <v>31200</v>
      </c>
      <c r="AN38" s="3">
        <f>SUM(E38:AK38)-AM38+AL38</f>
        <v>10790</v>
      </c>
    </row>
    <row r="39" ht="15.75" spans="1:40">
      <c r="A39" s="17" t="s">
        <v>123</v>
      </c>
      <c r="B39" s="18" t="s">
        <v>124</v>
      </c>
      <c r="C39" s="18" t="s">
        <v>42</v>
      </c>
      <c r="D39" s="18" t="s">
        <v>58</v>
      </c>
      <c r="E39" s="19"/>
      <c r="F39" s="20">
        <v>0</v>
      </c>
      <c r="G39" s="19">
        <v>0</v>
      </c>
      <c r="H39" s="19">
        <v>0</v>
      </c>
      <c r="I39" s="19"/>
      <c r="J39" s="19"/>
      <c r="K39" s="19">
        <v>0</v>
      </c>
      <c r="L39" s="19"/>
      <c r="M39" s="19"/>
      <c r="N39" s="3">
        <v>0</v>
      </c>
      <c r="O39" s="21">
        <v>600</v>
      </c>
      <c r="P39" s="22">
        <v>0</v>
      </c>
      <c r="Q39" s="21">
        <v>1050</v>
      </c>
      <c r="R39" s="21"/>
      <c r="S39" s="21">
        <v>620</v>
      </c>
      <c r="T39" s="23">
        <v>0</v>
      </c>
      <c r="U39" s="23"/>
      <c r="V39" s="23"/>
      <c r="W39" s="23"/>
      <c r="X39" s="23"/>
      <c r="Y39" s="24">
        <v>0</v>
      </c>
      <c r="Z39" s="22">
        <v>0</v>
      </c>
      <c r="AA39" s="22"/>
      <c r="AB39" s="23"/>
      <c r="AC39" s="19">
        <v>450</v>
      </c>
      <c r="AD39" s="26">
        <v>4000</v>
      </c>
      <c r="AE39" s="26"/>
      <c r="AF39" s="27"/>
      <c r="AG39" s="27">
        <v>500</v>
      </c>
      <c r="AH39" s="27">
        <v>1500</v>
      </c>
      <c r="AI39" s="28">
        <v>200</v>
      </c>
      <c r="AJ39" s="28"/>
      <c r="AK39" s="19"/>
      <c r="AM39">
        <v>24000</v>
      </c>
      <c r="AN39" s="3">
        <f>SUM(E39:AK39)-AM39+AL39</f>
        <v>-15080</v>
      </c>
    </row>
    <row r="40" ht="15.75" spans="1:40">
      <c r="A40" s="17" t="s">
        <v>125</v>
      </c>
      <c r="B40" s="18" t="s">
        <v>126</v>
      </c>
      <c r="C40" s="18" t="s">
        <v>51</v>
      </c>
      <c r="D40" s="18" t="s">
        <v>58</v>
      </c>
      <c r="E40" s="19"/>
      <c r="F40" s="20">
        <v>0</v>
      </c>
      <c r="G40" s="19">
        <v>300</v>
      </c>
      <c r="H40" s="19">
        <v>3600</v>
      </c>
      <c r="I40" s="19">
        <v>9920</v>
      </c>
      <c r="J40" s="19"/>
      <c r="K40" s="19">
        <v>0</v>
      </c>
      <c r="L40" s="19"/>
      <c r="M40" s="19"/>
      <c r="N40" s="3">
        <v>0</v>
      </c>
      <c r="O40" s="21">
        <v>1800</v>
      </c>
      <c r="P40" s="22">
        <v>600</v>
      </c>
      <c r="Q40" s="21">
        <v>0</v>
      </c>
      <c r="R40" s="21"/>
      <c r="S40" s="21">
        <v>0</v>
      </c>
      <c r="T40" s="23">
        <v>0</v>
      </c>
      <c r="U40" s="23"/>
      <c r="V40" s="23"/>
      <c r="W40" s="23"/>
      <c r="X40" s="23"/>
      <c r="Y40" s="24">
        <v>0</v>
      </c>
      <c r="Z40" s="22">
        <v>0</v>
      </c>
      <c r="AA40" s="22"/>
      <c r="AB40" s="23"/>
      <c r="AC40" s="19">
        <v>400</v>
      </c>
      <c r="AD40" s="26">
        <v>0</v>
      </c>
      <c r="AE40" s="26"/>
      <c r="AF40" s="27"/>
      <c r="AG40" s="27">
        <v>200</v>
      </c>
      <c r="AH40" s="27">
        <v>1500</v>
      </c>
      <c r="AI40" s="28">
        <v>800</v>
      </c>
      <c r="AJ40" s="28"/>
      <c r="AK40" s="19"/>
      <c r="AM40">
        <v>31200</v>
      </c>
      <c r="AN40" s="3">
        <f>SUM(E40:AK40)-AM40+AL40</f>
        <v>-12080</v>
      </c>
    </row>
    <row r="41" ht="15.75" spans="1:40">
      <c r="A41" s="17" t="s">
        <v>127</v>
      </c>
      <c r="B41" s="18" t="s">
        <v>128</v>
      </c>
      <c r="C41" s="18" t="s">
        <v>51</v>
      </c>
      <c r="D41" s="18" t="s">
        <v>58</v>
      </c>
      <c r="E41" s="19"/>
      <c r="F41" s="20">
        <v>0</v>
      </c>
      <c r="G41" s="19">
        <v>1200</v>
      </c>
      <c r="H41" s="19">
        <v>1200</v>
      </c>
      <c r="I41" s="19">
        <v>8960</v>
      </c>
      <c r="J41" s="19"/>
      <c r="K41" s="19">
        <v>0</v>
      </c>
      <c r="L41" s="19"/>
      <c r="M41" s="19"/>
      <c r="N41" s="3">
        <v>0</v>
      </c>
      <c r="O41" s="21">
        <v>1200</v>
      </c>
      <c r="P41" s="22">
        <v>600</v>
      </c>
      <c r="Q41" s="21">
        <v>175</v>
      </c>
      <c r="R41" s="21"/>
      <c r="S41" s="21">
        <v>0</v>
      </c>
      <c r="T41" s="23">
        <v>0</v>
      </c>
      <c r="U41" s="23"/>
      <c r="V41" s="23"/>
      <c r="W41" s="23"/>
      <c r="X41" s="23"/>
      <c r="Y41" s="24">
        <v>800</v>
      </c>
      <c r="Z41" s="22">
        <v>0</v>
      </c>
      <c r="AA41" s="22"/>
      <c r="AB41" s="23"/>
      <c r="AC41" s="19">
        <v>350</v>
      </c>
      <c r="AD41" s="26">
        <v>0</v>
      </c>
      <c r="AE41" s="26"/>
      <c r="AF41" s="27"/>
      <c r="AG41" s="27">
        <v>500</v>
      </c>
      <c r="AH41" s="27">
        <v>1500</v>
      </c>
      <c r="AI41" s="28"/>
      <c r="AJ41" s="28"/>
      <c r="AK41" s="32"/>
      <c r="AL41" s="5"/>
      <c r="AM41">
        <v>24000</v>
      </c>
      <c r="AN41" s="3">
        <f>SUM(E41:AK41)-AM41+AL41</f>
        <v>-7515</v>
      </c>
    </row>
    <row r="42" ht="15.75" spans="1:40">
      <c r="A42" s="17" t="s">
        <v>129</v>
      </c>
      <c r="B42" s="18" t="s">
        <v>130</v>
      </c>
      <c r="C42" s="18" t="s">
        <v>102</v>
      </c>
      <c r="D42" s="18" t="s">
        <v>58</v>
      </c>
      <c r="E42" s="19"/>
      <c r="F42" s="20">
        <v>0</v>
      </c>
      <c r="G42" s="19">
        <v>150</v>
      </c>
      <c r="H42" s="19">
        <v>2400</v>
      </c>
      <c r="I42" s="19">
        <v>520</v>
      </c>
      <c r="J42" s="19"/>
      <c r="K42" s="19">
        <v>0</v>
      </c>
      <c r="L42" s="19"/>
      <c r="M42" s="19"/>
      <c r="N42" s="3">
        <v>0</v>
      </c>
      <c r="O42" s="21">
        <v>1800</v>
      </c>
      <c r="P42" s="22">
        <v>1200</v>
      </c>
      <c r="Q42" s="21">
        <v>350</v>
      </c>
      <c r="R42" s="21"/>
      <c r="S42" s="21">
        <v>0</v>
      </c>
      <c r="T42" s="23">
        <v>0</v>
      </c>
      <c r="U42" s="23"/>
      <c r="V42" s="23"/>
      <c r="W42" s="23"/>
      <c r="X42" s="23"/>
      <c r="Y42" s="24">
        <v>0</v>
      </c>
      <c r="Z42" s="22">
        <v>0</v>
      </c>
      <c r="AA42" s="22"/>
      <c r="AB42" s="23"/>
      <c r="AC42" s="19">
        <v>330</v>
      </c>
      <c r="AD42" s="26">
        <v>0</v>
      </c>
      <c r="AE42" s="26"/>
      <c r="AF42" s="27"/>
      <c r="AG42" s="27">
        <v>300</v>
      </c>
      <c r="AH42" s="27">
        <v>1500</v>
      </c>
      <c r="AI42" s="28"/>
      <c r="AJ42" s="28"/>
      <c r="AK42" s="19"/>
      <c r="AM42">
        <v>24000</v>
      </c>
      <c r="AN42" s="3">
        <f>SUM(E42:AK42)-AM42+AL42</f>
        <v>-15450</v>
      </c>
    </row>
    <row r="43" ht="15.75" spans="1:40">
      <c r="A43" s="17" t="s">
        <v>131</v>
      </c>
      <c r="B43" s="18" t="s">
        <v>132</v>
      </c>
      <c r="C43" s="18" t="s">
        <v>95</v>
      </c>
      <c r="D43" s="18" t="s">
        <v>58</v>
      </c>
      <c r="E43" s="19"/>
      <c r="F43" s="20">
        <v>0</v>
      </c>
      <c r="G43" s="19">
        <v>200</v>
      </c>
      <c r="H43" s="19">
        <v>1200</v>
      </c>
      <c r="I43" s="19"/>
      <c r="J43" s="19"/>
      <c r="K43" s="19">
        <v>0</v>
      </c>
      <c r="L43" s="19"/>
      <c r="M43" s="19"/>
      <c r="N43" s="3">
        <v>9120</v>
      </c>
      <c r="O43" s="21">
        <v>600</v>
      </c>
      <c r="P43" s="22">
        <v>1200</v>
      </c>
      <c r="Q43" s="21">
        <v>245</v>
      </c>
      <c r="R43" s="21"/>
      <c r="S43" s="21">
        <v>0</v>
      </c>
      <c r="T43" s="23">
        <v>6003.2</v>
      </c>
      <c r="U43" s="23"/>
      <c r="V43" s="23"/>
      <c r="W43" s="23"/>
      <c r="X43" s="23"/>
      <c r="Y43" s="24">
        <v>320</v>
      </c>
      <c r="Z43" s="22">
        <v>0</v>
      </c>
      <c r="AA43" s="22"/>
      <c r="AB43" s="23"/>
      <c r="AC43" s="19">
        <v>250</v>
      </c>
      <c r="AD43" s="26">
        <v>0</v>
      </c>
      <c r="AE43" s="26"/>
      <c r="AF43" s="27"/>
      <c r="AG43" s="27">
        <v>500</v>
      </c>
      <c r="AH43" s="27">
        <v>1425</v>
      </c>
      <c r="AI43" s="28"/>
      <c r="AJ43" s="28">
        <v>960</v>
      </c>
      <c r="AK43" s="19"/>
      <c r="AL43" s="5"/>
      <c r="AM43">
        <v>31200</v>
      </c>
      <c r="AN43" s="3">
        <f>SUM(E43:AK43)-AM43+AL43</f>
        <v>-9176.8</v>
      </c>
    </row>
    <row r="44" ht="15.75" spans="1:40">
      <c r="A44" s="17" t="s">
        <v>133</v>
      </c>
      <c r="B44" s="18" t="s">
        <v>134</v>
      </c>
      <c r="C44" s="18" t="s">
        <v>51</v>
      </c>
      <c r="D44" s="18" t="s">
        <v>58</v>
      </c>
      <c r="E44" s="19"/>
      <c r="F44" s="20">
        <v>0</v>
      </c>
      <c r="G44" s="19">
        <v>150</v>
      </c>
      <c r="H44" s="19">
        <v>2400</v>
      </c>
      <c r="I44" s="19"/>
      <c r="J44" s="19"/>
      <c r="K44" s="19">
        <v>0</v>
      </c>
      <c r="L44" s="19"/>
      <c r="M44" s="19"/>
      <c r="N44" s="3">
        <v>0</v>
      </c>
      <c r="O44" s="21">
        <v>1200</v>
      </c>
      <c r="P44" s="22">
        <v>1200</v>
      </c>
      <c r="Q44" s="21">
        <v>350</v>
      </c>
      <c r="R44" s="21"/>
      <c r="S44" s="21">
        <v>960</v>
      </c>
      <c r="T44" s="23">
        <v>3561.6</v>
      </c>
      <c r="U44" s="23"/>
      <c r="V44" s="23"/>
      <c r="W44" s="23"/>
      <c r="X44" s="23"/>
      <c r="Y44" s="24">
        <v>1000</v>
      </c>
      <c r="Z44" s="22">
        <v>0</v>
      </c>
      <c r="AA44" s="22"/>
      <c r="AB44" s="23"/>
      <c r="AC44" s="19">
        <v>680</v>
      </c>
      <c r="AD44" s="26">
        <v>0</v>
      </c>
      <c r="AE44" s="26"/>
      <c r="AF44" s="27"/>
      <c r="AG44" s="27">
        <v>100</v>
      </c>
      <c r="AH44" s="27">
        <v>1500</v>
      </c>
      <c r="AI44" s="28">
        <v>400</v>
      </c>
      <c r="AJ44" s="28"/>
      <c r="AK44" s="19"/>
      <c r="AM44">
        <v>31200</v>
      </c>
      <c r="AN44" s="3">
        <f>SUM(E44:AK44)-AM44+AL44</f>
        <v>-17698.4</v>
      </c>
    </row>
    <row r="45" ht="15.75" spans="1:40">
      <c r="A45" s="17" t="s">
        <v>135</v>
      </c>
      <c r="B45" s="18" t="s">
        <v>136</v>
      </c>
      <c r="C45" s="18" t="s">
        <v>102</v>
      </c>
      <c r="D45" s="18" t="s">
        <v>58</v>
      </c>
      <c r="E45" s="19"/>
      <c r="F45" s="20">
        <v>0</v>
      </c>
      <c r="G45" s="19">
        <v>400</v>
      </c>
      <c r="H45" s="19">
        <v>3600</v>
      </c>
      <c r="I45" s="19">
        <v>1600</v>
      </c>
      <c r="J45" s="19"/>
      <c r="K45" s="19">
        <v>0</v>
      </c>
      <c r="L45" s="19"/>
      <c r="M45" s="19"/>
      <c r="N45" s="3">
        <v>0</v>
      </c>
      <c r="O45" s="21">
        <v>1800</v>
      </c>
      <c r="P45" s="22">
        <v>1200</v>
      </c>
      <c r="Q45" s="21">
        <v>420</v>
      </c>
      <c r="R45" s="21"/>
      <c r="S45" s="21">
        <v>0</v>
      </c>
      <c r="T45" s="23">
        <v>0</v>
      </c>
      <c r="U45" s="23"/>
      <c r="V45" s="23"/>
      <c r="W45" s="23"/>
      <c r="X45" s="23"/>
      <c r="Y45" s="24">
        <v>0</v>
      </c>
      <c r="Z45" s="22">
        <v>0</v>
      </c>
      <c r="AA45" s="22"/>
      <c r="AB45" s="23"/>
      <c r="AC45" s="19">
        <v>700</v>
      </c>
      <c r="AD45" s="26">
        <v>0</v>
      </c>
      <c r="AE45" s="26"/>
      <c r="AF45" s="27"/>
      <c r="AG45" s="27">
        <v>400</v>
      </c>
      <c r="AH45" s="27">
        <v>1500</v>
      </c>
      <c r="AI45" s="28">
        <v>400</v>
      </c>
      <c r="AJ45" s="28"/>
      <c r="AK45" s="19"/>
      <c r="AM45">
        <v>31200</v>
      </c>
      <c r="AN45" s="3">
        <f>SUM(E45:AK45)-AM45+AL45</f>
        <v>-19180</v>
      </c>
    </row>
    <row r="46" ht="15.75" spans="1:40">
      <c r="A46" s="17" t="s">
        <v>137</v>
      </c>
      <c r="B46" s="18" t="s">
        <v>138</v>
      </c>
      <c r="C46" s="18" t="s">
        <v>95</v>
      </c>
      <c r="D46" s="18" t="s">
        <v>58</v>
      </c>
      <c r="E46" s="19"/>
      <c r="F46" s="20">
        <v>0</v>
      </c>
      <c r="G46" s="19">
        <v>20</v>
      </c>
      <c r="H46" s="19">
        <v>0</v>
      </c>
      <c r="I46" s="19">
        <v>640</v>
      </c>
      <c r="J46" s="19"/>
      <c r="K46" s="19">
        <v>0</v>
      </c>
      <c r="L46" s="19"/>
      <c r="M46" s="19"/>
      <c r="N46" s="3">
        <v>0</v>
      </c>
      <c r="O46" s="21">
        <v>1800</v>
      </c>
      <c r="P46" s="22">
        <v>0</v>
      </c>
      <c r="Q46" s="21">
        <v>245</v>
      </c>
      <c r="R46" s="21"/>
      <c r="S46" s="21">
        <v>0</v>
      </c>
      <c r="T46" s="23">
        <v>0</v>
      </c>
      <c r="U46" s="23"/>
      <c r="V46" s="23"/>
      <c r="W46" s="23"/>
      <c r="X46" s="23"/>
      <c r="Y46" s="24">
        <v>80</v>
      </c>
      <c r="Z46" s="22">
        <v>0</v>
      </c>
      <c r="AA46" s="22"/>
      <c r="AB46" s="23"/>
      <c r="AC46" s="19">
        <v>280</v>
      </c>
      <c r="AD46" s="26">
        <v>0</v>
      </c>
      <c r="AE46" s="26"/>
      <c r="AF46" s="27"/>
      <c r="AG46" s="27">
        <v>300</v>
      </c>
      <c r="AH46" s="27">
        <v>1500</v>
      </c>
      <c r="AI46" s="28"/>
      <c r="AJ46" s="28"/>
      <c r="AK46" s="19"/>
      <c r="AM46">
        <v>31200</v>
      </c>
      <c r="AN46" s="3">
        <f>SUM(E46:AK46)-AM46+AL46</f>
        <v>-26335</v>
      </c>
    </row>
    <row r="47" ht="15.75" spans="1:40">
      <c r="A47" s="17" t="s">
        <v>139</v>
      </c>
      <c r="B47" s="18" t="s">
        <v>140</v>
      </c>
      <c r="C47" s="18" t="s">
        <v>51</v>
      </c>
      <c r="D47" s="18" t="s">
        <v>58</v>
      </c>
      <c r="E47" s="19"/>
      <c r="F47" s="20">
        <v>0</v>
      </c>
      <c r="G47" s="19">
        <v>17962.1</v>
      </c>
      <c r="H47" s="19">
        <v>600</v>
      </c>
      <c r="I47" s="19"/>
      <c r="J47" s="19"/>
      <c r="K47" s="19">
        <v>0</v>
      </c>
      <c r="L47" s="19"/>
      <c r="M47" s="19"/>
      <c r="N47" s="3">
        <v>0</v>
      </c>
      <c r="O47" s="21">
        <v>1200</v>
      </c>
      <c r="P47" s="22">
        <v>600</v>
      </c>
      <c r="Q47" s="21">
        <v>700</v>
      </c>
      <c r="R47" s="21"/>
      <c r="S47" s="21">
        <v>1280</v>
      </c>
      <c r="T47" s="23">
        <v>0</v>
      </c>
      <c r="U47" s="23"/>
      <c r="V47" s="23"/>
      <c r="W47" s="23"/>
      <c r="X47" s="23"/>
      <c r="Y47" s="24">
        <v>400</v>
      </c>
      <c r="Z47" s="22">
        <v>0</v>
      </c>
      <c r="AA47" s="22"/>
      <c r="AB47" s="23"/>
      <c r="AC47" s="19">
        <v>480</v>
      </c>
      <c r="AD47" s="26">
        <v>4800</v>
      </c>
      <c r="AE47" s="26"/>
      <c r="AF47" s="27"/>
      <c r="AG47" s="27">
        <v>450</v>
      </c>
      <c r="AH47" s="27">
        <v>1500</v>
      </c>
      <c r="AI47" s="28"/>
      <c r="AJ47" s="28"/>
      <c r="AK47" s="19"/>
      <c r="AM47">
        <v>31200</v>
      </c>
      <c r="AN47" s="3">
        <f>SUM(E47:AK47)-AM47+AL47</f>
        <v>-1227.9</v>
      </c>
    </row>
    <row r="48" ht="15.75" spans="1:40">
      <c r="A48" s="17" t="s">
        <v>141</v>
      </c>
      <c r="B48" s="18" t="s">
        <v>142</v>
      </c>
      <c r="C48" s="18" t="s">
        <v>102</v>
      </c>
      <c r="D48" s="18" t="s">
        <v>58</v>
      </c>
      <c r="E48" s="19"/>
      <c r="F48" s="20">
        <v>0</v>
      </c>
      <c r="G48" s="19">
        <v>4280</v>
      </c>
      <c r="H48" s="19">
        <v>1200</v>
      </c>
      <c r="I48" s="19">
        <v>12160</v>
      </c>
      <c r="J48" s="32"/>
      <c r="K48" s="19">
        <v>500</v>
      </c>
      <c r="L48" s="19"/>
      <c r="M48" s="19"/>
      <c r="N48" s="3">
        <v>0</v>
      </c>
      <c r="O48" s="21">
        <v>1800</v>
      </c>
      <c r="P48" s="22">
        <v>1800</v>
      </c>
      <c r="Q48" s="21">
        <v>6930</v>
      </c>
      <c r="R48" s="21"/>
      <c r="S48" s="21">
        <v>5664</v>
      </c>
      <c r="T48" s="23">
        <v>0</v>
      </c>
      <c r="U48" s="23"/>
      <c r="V48" s="23"/>
      <c r="W48" s="23">
        <v>13000</v>
      </c>
      <c r="X48" s="23"/>
      <c r="Y48" s="24">
        <v>3280</v>
      </c>
      <c r="Z48" s="22">
        <v>0</v>
      </c>
      <c r="AA48" s="22">
        <v>11712</v>
      </c>
      <c r="AB48" s="23"/>
      <c r="AC48" s="19">
        <v>800</v>
      </c>
      <c r="AD48" s="26">
        <v>1200</v>
      </c>
      <c r="AE48" s="26"/>
      <c r="AF48" s="27"/>
      <c r="AG48" s="27">
        <v>100</v>
      </c>
      <c r="AH48" s="27">
        <v>1500</v>
      </c>
      <c r="AI48" s="28">
        <v>400</v>
      </c>
      <c r="AJ48" s="28"/>
      <c r="AK48" s="19">
        <v>1000</v>
      </c>
      <c r="AM48">
        <v>24000</v>
      </c>
      <c r="AN48" s="3">
        <f>SUM(E48:AK48)-AM48+AL48</f>
        <v>43326</v>
      </c>
    </row>
    <row r="49" ht="15.75" spans="1:40">
      <c r="A49" s="17" t="s">
        <v>143</v>
      </c>
      <c r="B49" s="18" t="s">
        <v>144</v>
      </c>
      <c r="C49" s="18" t="s">
        <v>57</v>
      </c>
      <c r="D49" s="18" t="s">
        <v>58</v>
      </c>
      <c r="E49" s="19"/>
      <c r="F49" s="20">
        <v>0</v>
      </c>
      <c r="G49" s="19">
        <v>350</v>
      </c>
      <c r="H49" s="19">
        <v>10800</v>
      </c>
      <c r="I49" s="19">
        <v>5980</v>
      </c>
      <c r="J49" s="19"/>
      <c r="K49" s="19">
        <v>0</v>
      </c>
      <c r="L49" s="19"/>
      <c r="M49" s="19">
        <v>1000</v>
      </c>
      <c r="N49" s="3">
        <v>0</v>
      </c>
      <c r="O49" s="21">
        <v>1800</v>
      </c>
      <c r="P49" s="22">
        <v>600</v>
      </c>
      <c r="Q49" s="21">
        <v>560</v>
      </c>
      <c r="R49" s="21"/>
      <c r="S49" s="21">
        <v>0</v>
      </c>
      <c r="T49" s="23">
        <v>0</v>
      </c>
      <c r="U49" s="23"/>
      <c r="V49" s="23"/>
      <c r="W49" s="23"/>
      <c r="X49" s="23"/>
      <c r="Y49" s="24">
        <v>1160</v>
      </c>
      <c r="Z49" s="22">
        <v>0</v>
      </c>
      <c r="AA49" s="22"/>
      <c r="AB49" s="23"/>
      <c r="AC49" s="19">
        <v>100</v>
      </c>
      <c r="AD49" s="26">
        <v>0</v>
      </c>
      <c r="AE49" s="26"/>
      <c r="AF49" s="27"/>
      <c r="AG49" s="27">
        <v>500</v>
      </c>
      <c r="AH49" s="27">
        <v>1500</v>
      </c>
      <c r="AI49" s="28"/>
      <c r="AJ49" s="28">
        <v>960</v>
      </c>
      <c r="AK49" s="19"/>
      <c r="AM49">
        <v>31200</v>
      </c>
      <c r="AN49" s="3">
        <f>SUM(E49:AK49)-AM49+AL49+2000</f>
        <v>-3890</v>
      </c>
    </row>
    <row r="50" ht="15.75" spans="1:40">
      <c r="A50" s="17" t="s">
        <v>145</v>
      </c>
      <c r="B50" s="18" t="s">
        <v>146</v>
      </c>
      <c r="C50" s="18" t="s">
        <v>57</v>
      </c>
      <c r="D50" s="18" t="s">
        <v>58</v>
      </c>
      <c r="E50" s="19"/>
      <c r="F50" s="20">
        <v>0</v>
      </c>
      <c r="G50" s="19">
        <v>4698</v>
      </c>
      <c r="H50" s="19">
        <v>13400</v>
      </c>
      <c r="I50" s="19"/>
      <c r="J50" s="19"/>
      <c r="K50" s="19">
        <v>0</v>
      </c>
      <c r="L50" s="19"/>
      <c r="M50" s="19"/>
      <c r="N50" s="3">
        <v>0</v>
      </c>
      <c r="O50" s="21">
        <v>1800</v>
      </c>
      <c r="P50" s="22">
        <v>600</v>
      </c>
      <c r="Q50" s="21">
        <v>210</v>
      </c>
      <c r="R50" s="21"/>
      <c r="S50" s="21">
        <v>0</v>
      </c>
      <c r="T50" s="23">
        <v>0</v>
      </c>
      <c r="U50" s="23"/>
      <c r="V50" s="23"/>
      <c r="W50" s="23"/>
      <c r="X50" s="23"/>
      <c r="Y50" s="24">
        <v>2760</v>
      </c>
      <c r="Z50" s="22">
        <v>80</v>
      </c>
      <c r="AA50" s="22"/>
      <c r="AB50" s="23"/>
      <c r="AC50" s="19">
        <v>350</v>
      </c>
      <c r="AD50" s="26">
        <v>0</v>
      </c>
      <c r="AE50" s="26"/>
      <c r="AF50" s="27"/>
      <c r="AG50" s="27">
        <v>200</v>
      </c>
      <c r="AH50" s="27">
        <v>1500</v>
      </c>
      <c r="AI50" s="28">
        <v>400</v>
      </c>
      <c r="AJ50" s="28"/>
      <c r="AK50" s="19"/>
      <c r="AM50">
        <v>31200</v>
      </c>
      <c r="AN50" s="3">
        <f>SUM(E50:AK50)-AM50+AL50</f>
        <v>-5202</v>
      </c>
    </row>
    <row r="51" ht="15.75" spans="1:40">
      <c r="A51" s="17" t="s">
        <v>147</v>
      </c>
      <c r="B51" s="18" t="s">
        <v>148</v>
      </c>
      <c r="C51" s="18" t="s">
        <v>102</v>
      </c>
      <c r="D51" s="18" t="s">
        <v>58</v>
      </c>
      <c r="E51" s="19"/>
      <c r="F51" s="20">
        <v>0</v>
      </c>
      <c r="G51" s="19">
        <v>3575</v>
      </c>
      <c r="H51" s="19">
        <v>0</v>
      </c>
      <c r="I51" s="19"/>
      <c r="J51" s="19"/>
      <c r="K51" s="19">
        <v>0</v>
      </c>
      <c r="L51" s="19"/>
      <c r="M51" s="19"/>
      <c r="N51" s="3">
        <v>9270</v>
      </c>
      <c r="O51" s="21">
        <v>600</v>
      </c>
      <c r="P51" s="22">
        <v>1800</v>
      </c>
      <c r="Q51" s="21">
        <v>420</v>
      </c>
      <c r="R51" s="21"/>
      <c r="S51" s="21">
        <v>0</v>
      </c>
      <c r="T51" s="23">
        <v>5964</v>
      </c>
      <c r="U51" s="23"/>
      <c r="V51" s="23"/>
      <c r="W51" s="23"/>
      <c r="X51" s="23"/>
      <c r="Y51" s="24">
        <v>1640</v>
      </c>
      <c r="Z51" s="22">
        <v>0</v>
      </c>
      <c r="AA51" s="22"/>
      <c r="AB51" s="23"/>
      <c r="AC51" s="19">
        <v>450</v>
      </c>
      <c r="AD51" s="26">
        <v>0</v>
      </c>
      <c r="AE51" s="26"/>
      <c r="AF51" s="27"/>
      <c r="AG51" s="27">
        <v>0</v>
      </c>
      <c r="AH51" s="27">
        <v>1500</v>
      </c>
      <c r="AI51" s="28"/>
      <c r="AJ51" s="28">
        <v>960</v>
      </c>
      <c r="AK51" s="19"/>
      <c r="AM51">
        <v>10000</v>
      </c>
      <c r="AN51" s="3">
        <f>SUM(E51:AK51)-AM51+AL51</f>
        <v>16179</v>
      </c>
    </row>
    <row r="52" ht="15.75" spans="1:40">
      <c r="A52" s="17" t="s">
        <v>149</v>
      </c>
      <c r="B52" s="18" t="s">
        <v>150</v>
      </c>
      <c r="C52" s="18" t="s">
        <v>95</v>
      </c>
      <c r="D52" s="18" t="s">
        <v>58</v>
      </c>
      <c r="E52" s="19"/>
      <c r="F52" s="20">
        <v>0</v>
      </c>
      <c r="G52" s="19">
        <v>12892.5</v>
      </c>
      <c r="H52" s="19">
        <v>1200</v>
      </c>
      <c r="I52" s="19"/>
      <c r="J52" s="19"/>
      <c r="K52" s="19">
        <v>0</v>
      </c>
      <c r="L52" s="19"/>
      <c r="M52" s="19"/>
      <c r="N52" s="3">
        <v>0</v>
      </c>
      <c r="O52" s="21">
        <v>1800</v>
      </c>
      <c r="P52" s="22">
        <v>1200</v>
      </c>
      <c r="Q52" s="21">
        <v>245</v>
      </c>
      <c r="R52" s="21"/>
      <c r="S52" s="21">
        <v>0</v>
      </c>
      <c r="T52" s="23">
        <v>0</v>
      </c>
      <c r="U52" s="23"/>
      <c r="V52" s="23"/>
      <c r="W52" s="23"/>
      <c r="X52" s="23"/>
      <c r="Y52" s="24">
        <v>0</v>
      </c>
      <c r="Z52" s="22">
        <v>0</v>
      </c>
      <c r="AA52" s="22"/>
      <c r="AB52" s="23"/>
      <c r="AC52" s="19">
        <v>300</v>
      </c>
      <c r="AD52" s="26">
        <v>0</v>
      </c>
      <c r="AE52" s="26"/>
      <c r="AF52" s="27"/>
      <c r="AG52" s="27">
        <v>200</v>
      </c>
      <c r="AH52" s="27">
        <v>1500</v>
      </c>
      <c r="AI52" s="28"/>
      <c r="AJ52" s="28"/>
      <c r="AK52" s="19"/>
      <c r="AM52">
        <v>31200</v>
      </c>
      <c r="AN52" s="3">
        <f>SUM(E52:AK52)-AM52+AL52</f>
        <v>-11862.5</v>
      </c>
    </row>
    <row r="53" ht="15.75" spans="1:40">
      <c r="A53" s="17" t="s">
        <v>151</v>
      </c>
      <c r="B53" s="18" t="s">
        <v>152</v>
      </c>
      <c r="C53" s="18" t="s">
        <v>54</v>
      </c>
      <c r="D53" s="18" t="s">
        <v>58</v>
      </c>
      <c r="E53" s="19"/>
      <c r="F53" s="20">
        <v>0</v>
      </c>
      <c r="G53" s="19">
        <v>1370</v>
      </c>
      <c r="H53" s="19">
        <v>9200</v>
      </c>
      <c r="I53" s="19">
        <v>3360</v>
      </c>
      <c r="J53" s="19"/>
      <c r="K53" s="19">
        <v>0</v>
      </c>
      <c r="L53" s="19"/>
      <c r="M53" s="19"/>
      <c r="N53" s="3">
        <v>0</v>
      </c>
      <c r="O53" s="21">
        <v>1800</v>
      </c>
      <c r="P53" s="22">
        <v>1200</v>
      </c>
      <c r="Q53" s="21">
        <v>2345</v>
      </c>
      <c r="R53" s="21"/>
      <c r="S53" s="21">
        <v>720</v>
      </c>
      <c r="T53" s="23">
        <v>0</v>
      </c>
      <c r="U53" s="23"/>
      <c r="V53" s="23"/>
      <c r="W53" s="23"/>
      <c r="X53" s="23"/>
      <c r="Y53" s="24">
        <v>0</v>
      </c>
      <c r="Z53" s="22">
        <v>0</v>
      </c>
      <c r="AA53" s="22"/>
      <c r="AB53" s="23"/>
      <c r="AC53" s="19">
        <v>200</v>
      </c>
      <c r="AD53" s="26">
        <v>0</v>
      </c>
      <c r="AE53" s="26">
        <v>4000</v>
      </c>
      <c r="AF53" s="27"/>
      <c r="AG53" s="27">
        <v>200</v>
      </c>
      <c r="AH53" s="27">
        <v>1425</v>
      </c>
      <c r="AI53" s="28">
        <v>500</v>
      </c>
      <c r="AJ53" s="28">
        <v>960</v>
      </c>
      <c r="AK53" s="19"/>
      <c r="AM53">
        <v>36000</v>
      </c>
      <c r="AN53" s="3">
        <f>SUM(E53:AK53)-AM53+AL53</f>
        <v>-8720</v>
      </c>
    </row>
    <row r="54" ht="15.75" spans="1:40">
      <c r="A54" s="17" t="s">
        <v>153</v>
      </c>
      <c r="B54" s="18" t="s">
        <v>154</v>
      </c>
      <c r="C54" s="18" t="s">
        <v>51</v>
      </c>
      <c r="D54" s="18" t="s">
        <v>58</v>
      </c>
      <c r="E54" s="19"/>
      <c r="F54" s="20">
        <v>0</v>
      </c>
      <c r="G54" s="19">
        <v>137.5</v>
      </c>
      <c r="H54" s="19">
        <v>0</v>
      </c>
      <c r="I54" s="19"/>
      <c r="J54" s="19"/>
      <c r="K54" s="19">
        <v>0</v>
      </c>
      <c r="L54" s="19"/>
      <c r="M54" s="19">
        <v>1000</v>
      </c>
      <c r="N54" s="3">
        <v>0</v>
      </c>
      <c r="O54" s="21">
        <v>600</v>
      </c>
      <c r="P54" s="22">
        <v>1200</v>
      </c>
      <c r="Q54" s="21">
        <v>7595</v>
      </c>
      <c r="R54" s="21"/>
      <c r="S54" s="21">
        <v>240</v>
      </c>
      <c r="T54" s="23">
        <v>0</v>
      </c>
      <c r="U54" s="23"/>
      <c r="V54" s="23"/>
      <c r="W54" s="23"/>
      <c r="X54" s="23"/>
      <c r="Y54" s="24">
        <v>0</v>
      </c>
      <c r="Z54" s="22">
        <v>0</v>
      </c>
      <c r="AA54" s="22"/>
      <c r="AB54" s="23"/>
      <c r="AC54" s="19">
        <v>900</v>
      </c>
      <c r="AD54" s="26">
        <v>3000</v>
      </c>
      <c r="AE54" s="26"/>
      <c r="AF54" s="27"/>
      <c r="AG54" s="27">
        <v>150</v>
      </c>
      <c r="AH54" s="27">
        <v>1500</v>
      </c>
      <c r="AI54" s="28">
        <v>400</v>
      </c>
      <c r="AJ54" s="28">
        <v>960</v>
      </c>
      <c r="AK54" s="19"/>
      <c r="AM54">
        <v>31200</v>
      </c>
      <c r="AN54" s="3">
        <f>SUM(E54:AK54)-AM54+AL54</f>
        <v>-13517.5</v>
      </c>
    </row>
    <row r="55" ht="15.75" spans="1:40">
      <c r="A55" s="17" t="s">
        <v>155</v>
      </c>
      <c r="B55" s="18" t="s">
        <v>156</v>
      </c>
      <c r="C55" s="18" t="s">
        <v>54</v>
      </c>
      <c r="D55" s="18" t="s">
        <v>58</v>
      </c>
      <c r="E55" s="19"/>
      <c r="F55" s="20">
        <v>0</v>
      </c>
      <c r="G55" s="19">
        <v>3127</v>
      </c>
      <c r="H55" s="19">
        <v>15800</v>
      </c>
      <c r="I55" s="19">
        <v>800</v>
      </c>
      <c r="J55" s="19"/>
      <c r="K55" s="19">
        <v>0</v>
      </c>
      <c r="L55" s="19"/>
      <c r="M55" s="19">
        <v>1000</v>
      </c>
      <c r="N55" s="3">
        <v>0</v>
      </c>
      <c r="O55" s="21">
        <v>600</v>
      </c>
      <c r="P55" s="22">
        <v>2400</v>
      </c>
      <c r="Q55" s="21">
        <v>2135</v>
      </c>
      <c r="R55" s="21"/>
      <c r="S55" s="21">
        <v>0</v>
      </c>
      <c r="T55" s="23">
        <v>0</v>
      </c>
      <c r="U55" s="23"/>
      <c r="V55" s="23"/>
      <c r="W55" s="23"/>
      <c r="X55" s="23"/>
      <c r="Y55" s="24">
        <v>800</v>
      </c>
      <c r="Z55" s="22">
        <v>0</v>
      </c>
      <c r="AA55" s="22"/>
      <c r="AB55" s="23"/>
      <c r="AC55" s="19">
        <v>500</v>
      </c>
      <c r="AD55" s="26">
        <v>3600</v>
      </c>
      <c r="AE55" s="26"/>
      <c r="AF55" s="27"/>
      <c r="AG55" s="27">
        <v>250</v>
      </c>
      <c r="AH55" s="27">
        <v>1500</v>
      </c>
      <c r="AI55" s="28">
        <v>800</v>
      </c>
      <c r="AJ55" s="28">
        <v>960</v>
      </c>
      <c r="AK55" s="19"/>
      <c r="AM55">
        <v>31200</v>
      </c>
      <c r="AN55" s="3">
        <f>SUM(E55:AK55)-AM55+AL55+36000</f>
        <v>39072</v>
      </c>
    </row>
    <row r="56" ht="15.75" spans="1:40">
      <c r="A56" s="17" t="s">
        <v>157</v>
      </c>
      <c r="B56" s="18" t="s">
        <v>158</v>
      </c>
      <c r="C56" s="18" t="s">
        <v>95</v>
      </c>
      <c r="D56" s="18" t="s">
        <v>58</v>
      </c>
      <c r="E56" s="19"/>
      <c r="F56" s="20">
        <v>0</v>
      </c>
      <c r="G56" s="19">
        <v>2540</v>
      </c>
      <c r="H56" s="19">
        <v>4800</v>
      </c>
      <c r="I56" s="19">
        <v>2800</v>
      </c>
      <c r="J56" s="19"/>
      <c r="K56" s="19">
        <v>0</v>
      </c>
      <c r="L56" s="19"/>
      <c r="M56" s="19"/>
      <c r="N56" s="3">
        <v>0</v>
      </c>
      <c r="O56" s="21">
        <v>1800</v>
      </c>
      <c r="P56" s="22">
        <v>0</v>
      </c>
      <c r="Q56" s="21">
        <v>245</v>
      </c>
      <c r="R56" s="21"/>
      <c r="S56" s="21">
        <v>0</v>
      </c>
      <c r="T56" s="23">
        <v>0</v>
      </c>
      <c r="U56" s="23"/>
      <c r="V56" s="23"/>
      <c r="W56" s="23"/>
      <c r="X56" s="23"/>
      <c r="Y56" s="24">
        <v>400</v>
      </c>
      <c r="Z56" s="22">
        <v>80</v>
      </c>
      <c r="AA56" s="22"/>
      <c r="AB56" s="23"/>
      <c r="AC56" s="19">
        <v>500</v>
      </c>
      <c r="AD56" s="26">
        <v>4000</v>
      </c>
      <c r="AE56" s="26"/>
      <c r="AF56" s="27"/>
      <c r="AG56" s="27">
        <v>300</v>
      </c>
      <c r="AH56" s="27">
        <v>1500</v>
      </c>
      <c r="AI56" s="28">
        <v>800</v>
      </c>
      <c r="AJ56" s="28">
        <v>960</v>
      </c>
      <c r="AK56" s="19">
        <v>1000</v>
      </c>
      <c r="AM56">
        <v>31200</v>
      </c>
      <c r="AN56" s="3">
        <f>SUM(E56:AK56)-AM56+AL56+1500</f>
        <v>-7975</v>
      </c>
    </row>
    <row r="57" ht="15.75" spans="1:40">
      <c r="A57" s="17" t="s">
        <v>159</v>
      </c>
      <c r="B57" s="18" t="s">
        <v>160</v>
      </c>
      <c r="C57" s="18" t="s">
        <v>95</v>
      </c>
      <c r="D57" s="18" t="s">
        <v>58</v>
      </c>
      <c r="E57" s="19">
        <v>1000</v>
      </c>
      <c r="F57" s="20">
        <v>0</v>
      </c>
      <c r="G57" s="19">
        <v>5030</v>
      </c>
      <c r="H57" s="19">
        <v>10400</v>
      </c>
      <c r="I57" s="19">
        <v>4560</v>
      </c>
      <c r="J57" s="32"/>
      <c r="K57" s="19">
        <v>0</v>
      </c>
      <c r="L57" s="19"/>
      <c r="M57" s="19"/>
      <c r="N57" s="3">
        <v>0</v>
      </c>
      <c r="O57" s="21">
        <v>1200</v>
      </c>
      <c r="P57" s="22">
        <v>600</v>
      </c>
      <c r="Q57" s="21">
        <v>350</v>
      </c>
      <c r="R57" s="21"/>
      <c r="S57" s="21">
        <v>0</v>
      </c>
      <c r="T57" s="23">
        <v>0</v>
      </c>
      <c r="U57" s="23"/>
      <c r="V57" s="23"/>
      <c r="W57" s="23"/>
      <c r="X57" s="23"/>
      <c r="Y57" s="24">
        <v>400</v>
      </c>
      <c r="Z57" s="22">
        <v>0</v>
      </c>
      <c r="AA57" s="22"/>
      <c r="AB57" s="23"/>
      <c r="AC57" s="19">
        <v>450</v>
      </c>
      <c r="AD57" s="26">
        <v>8200</v>
      </c>
      <c r="AE57" s="26"/>
      <c r="AF57" s="27"/>
      <c r="AG57" s="27">
        <v>100</v>
      </c>
      <c r="AH57" s="27">
        <v>1500</v>
      </c>
      <c r="AI57" s="28">
        <v>900</v>
      </c>
      <c r="AJ57" s="28">
        <v>960</v>
      </c>
      <c r="AK57" s="19"/>
      <c r="AM57">
        <v>31200</v>
      </c>
      <c r="AN57" s="3">
        <f>SUM(E57:AK57)-AM57+AL57+1500</f>
        <v>5950</v>
      </c>
    </row>
    <row r="58" ht="15.75" spans="1:40">
      <c r="A58" s="17" t="s">
        <v>161</v>
      </c>
      <c r="B58" s="18" t="s">
        <v>162</v>
      </c>
      <c r="C58" s="18" t="s">
        <v>57</v>
      </c>
      <c r="D58" s="18" t="s">
        <v>58</v>
      </c>
      <c r="E58" s="19"/>
      <c r="F58" s="20">
        <v>0</v>
      </c>
      <c r="G58" s="19">
        <v>1274.4</v>
      </c>
      <c r="H58" s="19">
        <v>200</v>
      </c>
      <c r="I58" s="19"/>
      <c r="J58" s="19"/>
      <c r="K58" s="19">
        <v>0</v>
      </c>
      <c r="L58" s="19"/>
      <c r="M58" s="19"/>
      <c r="N58" s="3">
        <v>0</v>
      </c>
      <c r="O58" s="21">
        <v>1800</v>
      </c>
      <c r="P58" s="22">
        <v>600</v>
      </c>
      <c r="Q58" s="21">
        <v>70</v>
      </c>
      <c r="R58" s="21"/>
      <c r="S58" s="21">
        <v>596</v>
      </c>
      <c r="T58" s="23">
        <v>0</v>
      </c>
      <c r="U58" s="23"/>
      <c r="V58" s="23"/>
      <c r="W58" s="23"/>
      <c r="X58" s="23"/>
      <c r="Y58" s="24">
        <v>0</v>
      </c>
      <c r="Z58" s="22">
        <v>0</v>
      </c>
      <c r="AA58" s="22"/>
      <c r="AB58" s="23"/>
      <c r="AC58" s="19">
        <v>710</v>
      </c>
      <c r="AD58" s="25"/>
      <c r="AE58" s="25"/>
      <c r="AF58" s="27"/>
      <c r="AG58" s="27">
        <v>100</v>
      </c>
      <c r="AH58" s="27">
        <v>0</v>
      </c>
      <c r="AI58" s="28"/>
      <c r="AJ58" s="28"/>
      <c r="AK58" s="32"/>
      <c r="AM58">
        <v>31200</v>
      </c>
      <c r="AN58" s="3">
        <f>SUM(E58:AK58)-AM58+AL58</f>
        <v>-25849.6</v>
      </c>
    </row>
    <row r="59" ht="15.75" spans="1:40">
      <c r="A59" s="17" t="s">
        <v>163</v>
      </c>
      <c r="B59" s="18" t="s">
        <v>164</v>
      </c>
      <c r="C59" s="18" t="s">
        <v>95</v>
      </c>
      <c r="D59" s="18" t="s">
        <v>58</v>
      </c>
      <c r="E59" s="19"/>
      <c r="F59" s="20">
        <v>0</v>
      </c>
      <c r="G59" s="19">
        <v>775</v>
      </c>
      <c r="H59" s="19">
        <v>200</v>
      </c>
      <c r="I59" s="19"/>
      <c r="J59" s="33">
        <v>62200</v>
      </c>
      <c r="K59" s="19">
        <v>0</v>
      </c>
      <c r="L59" s="19"/>
      <c r="M59" s="19"/>
      <c r="N59" s="3">
        <v>0</v>
      </c>
      <c r="O59" s="21">
        <v>600</v>
      </c>
      <c r="P59" s="22">
        <v>0</v>
      </c>
      <c r="Q59" s="21">
        <v>70</v>
      </c>
      <c r="R59" s="21"/>
      <c r="S59" s="21">
        <v>0</v>
      </c>
      <c r="T59" s="23">
        <v>0</v>
      </c>
      <c r="U59" s="23"/>
      <c r="V59" s="23"/>
      <c r="W59" s="23"/>
      <c r="X59" s="23"/>
      <c r="Y59" s="24">
        <v>0</v>
      </c>
      <c r="Z59" s="22">
        <v>0</v>
      </c>
      <c r="AA59" s="22"/>
      <c r="AB59" s="23"/>
      <c r="AC59" s="19">
        <v>200</v>
      </c>
      <c r="AD59" s="25"/>
      <c r="AE59" s="25"/>
      <c r="AF59" s="27"/>
      <c r="AG59" s="27">
        <v>250</v>
      </c>
      <c r="AH59" s="27">
        <v>1500</v>
      </c>
      <c r="AI59" s="28">
        <v>200</v>
      </c>
      <c r="AJ59" s="28"/>
      <c r="AK59" s="18"/>
      <c r="AM59">
        <v>31200</v>
      </c>
      <c r="AN59" s="3">
        <f>SUM(E59:AK59)-AM59+AL59+3000</f>
        <v>37795</v>
      </c>
    </row>
    <row r="60" ht="15.75" spans="1:40">
      <c r="A60" s="17" t="s">
        <v>165</v>
      </c>
      <c r="B60" s="18" t="s">
        <v>166</v>
      </c>
      <c r="C60" s="18" t="s">
        <v>95</v>
      </c>
      <c r="D60" s="18" t="s">
        <v>43</v>
      </c>
      <c r="E60" s="19"/>
      <c r="F60" s="20">
        <v>0</v>
      </c>
      <c r="G60" s="19">
        <v>0</v>
      </c>
      <c r="H60" s="19">
        <v>0</v>
      </c>
      <c r="I60" s="19"/>
      <c r="J60" s="19"/>
      <c r="K60" s="19">
        <v>0</v>
      </c>
      <c r="L60" s="19"/>
      <c r="M60" s="19"/>
      <c r="N60" s="3">
        <v>0</v>
      </c>
      <c r="O60" s="21">
        <v>0</v>
      </c>
      <c r="P60" s="22">
        <v>0</v>
      </c>
      <c r="Q60" s="21">
        <v>70</v>
      </c>
      <c r="R60" s="21"/>
      <c r="S60" s="21">
        <v>0</v>
      </c>
      <c r="T60" s="23">
        <v>0</v>
      </c>
      <c r="U60" s="23"/>
      <c r="V60" s="23"/>
      <c r="W60" s="23"/>
      <c r="X60" s="23"/>
      <c r="Y60" s="24">
        <v>0</v>
      </c>
      <c r="Z60" s="22">
        <v>0</v>
      </c>
      <c r="AA60" s="22"/>
      <c r="AB60" s="23"/>
      <c r="AC60" s="19">
        <v>100</v>
      </c>
      <c r="AD60" s="26"/>
      <c r="AE60" s="26"/>
      <c r="AF60" s="27"/>
      <c r="AG60" s="27">
        <v>100</v>
      </c>
      <c r="AH60" s="27">
        <v>600</v>
      </c>
      <c r="AI60" s="28"/>
      <c r="AJ60" s="28"/>
      <c r="AK60" s="19"/>
      <c r="AM60">
        <v>0</v>
      </c>
      <c r="AN60" s="3">
        <f>SUM(E60:AK60)-AM60+AL60</f>
        <v>870</v>
      </c>
    </row>
    <row r="61" ht="15.75" spans="1:40">
      <c r="A61" s="17" t="s">
        <v>167</v>
      </c>
      <c r="B61" s="18" t="s">
        <v>168</v>
      </c>
      <c r="C61" s="18" t="s">
        <v>102</v>
      </c>
      <c r="D61" s="18" t="s">
        <v>43</v>
      </c>
      <c r="E61" s="19"/>
      <c r="F61" s="20">
        <v>0</v>
      </c>
      <c r="G61" s="19">
        <v>675</v>
      </c>
      <c r="H61" s="19">
        <v>2600</v>
      </c>
      <c r="I61" s="19"/>
      <c r="J61" s="3">
        <v>18877.09</v>
      </c>
      <c r="K61" s="19">
        <v>0</v>
      </c>
      <c r="L61" s="19"/>
      <c r="M61" s="19"/>
      <c r="N61" s="3">
        <v>0</v>
      </c>
      <c r="O61" s="21">
        <v>1200</v>
      </c>
      <c r="P61" s="22">
        <v>600</v>
      </c>
      <c r="Q61" s="21">
        <v>350</v>
      </c>
      <c r="R61" s="21"/>
      <c r="S61" s="21">
        <v>0</v>
      </c>
      <c r="T61" s="23">
        <v>0</v>
      </c>
      <c r="U61" s="23"/>
      <c r="V61" s="23"/>
      <c r="W61" s="23"/>
      <c r="X61" s="23"/>
      <c r="Y61" s="24">
        <v>0</v>
      </c>
      <c r="Z61" s="22">
        <v>0</v>
      </c>
      <c r="AA61" s="22"/>
      <c r="AB61" s="23"/>
      <c r="AC61" s="19">
        <v>500</v>
      </c>
      <c r="AD61" s="25"/>
      <c r="AE61" s="25"/>
      <c r="AF61" s="27"/>
      <c r="AG61" s="27">
        <v>100</v>
      </c>
      <c r="AH61" s="27">
        <v>750</v>
      </c>
      <c r="AI61" s="28"/>
      <c r="AJ61" s="28"/>
      <c r="AK61" s="18"/>
      <c r="AM61">
        <v>17000</v>
      </c>
      <c r="AN61" s="3">
        <f>SUM(E61:AK61)-AM61+AL61</f>
        <v>8652.09</v>
      </c>
    </row>
    <row r="62" ht="15.75" spans="1:40">
      <c r="A62" s="17" t="s">
        <v>169</v>
      </c>
      <c r="B62" s="18" t="s">
        <v>170</v>
      </c>
      <c r="C62" s="18" t="s">
        <v>54</v>
      </c>
      <c r="D62" s="18" t="s">
        <v>171</v>
      </c>
      <c r="E62" s="19"/>
      <c r="F62" s="20">
        <v>0</v>
      </c>
      <c r="G62" s="19">
        <v>0</v>
      </c>
      <c r="H62" s="19">
        <v>200</v>
      </c>
      <c r="I62" s="19"/>
      <c r="J62" s="33">
        <v>39081.25</v>
      </c>
      <c r="K62" s="19">
        <v>0</v>
      </c>
      <c r="L62" s="19"/>
      <c r="M62" s="19"/>
      <c r="N62" s="3">
        <v>0</v>
      </c>
      <c r="O62" s="21">
        <v>600</v>
      </c>
      <c r="P62" s="22">
        <v>0</v>
      </c>
      <c r="Q62" s="21">
        <v>420</v>
      </c>
      <c r="R62" s="21"/>
      <c r="S62" s="21">
        <v>0</v>
      </c>
      <c r="T62" s="23">
        <v>0</v>
      </c>
      <c r="U62" s="23"/>
      <c r="V62" s="23"/>
      <c r="W62" s="23"/>
      <c r="X62" s="23"/>
      <c r="Y62" s="24">
        <v>0</v>
      </c>
      <c r="Z62" s="22">
        <v>0</v>
      </c>
      <c r="AA62" s="22"/>
      <c r="AB62" s="23"/>
      <c r="AC62" s="19">
        <v>300</v>
      </c>
      <c r="AD62" s="25"/>
      <c r="AE62" s="25"/>
      <c r="AF62" s="27"/>
      <c r="AG62" s="27">
        <v>0</v>
      </c>
      <c r="AH62" s="27">
        <v>750</v>
      </c>
      <c r="AI62" s="28"/>
      <c r="AJ62" s="28"/>
      <c r="AK62" s="19"/>
      <c r="AM62">
        <v>19500</v>
      </c>
      <c r="AN62" s="3">
        <f>SUM(E62:AK62)-AM62+AL62</f>
        <v>21851.25</v>
      </c>
    </row>
    <row r="63" ht="15.75" spans="1:40">
      <c r="A63" s="17" t="s">
        <v>172</v>
      </c>
      <c r="B63" s="18" t="s">
        <v>173</v>
      </c>
      <c r="C63" s="18" t="s">
        <v>102</v>
      </c>
      <c r="D63" s="18" t="s">
        <v>171</v>
      </c>
      <c r="E63" s="19">
        <v>1500</v>
      </c>
      <c r="F63" s="20">
        <v>0</v>
      </c>
      <c r="G63" s="19">
        <v>0</v>
      </c>
      <c r="H63" s="19">
        <v>200</v>
      </c>
      <c r="I63" s="19">
        <v>6000</v>
      </c>
      <c r="J63" s="33">
        <v>14825.42</v>
      </c>
      <c r="K63" s="19">
        <v>500</v>
      </c>
      <c r="L63" s="19"/>
      <c r="M63" s="19"/>
      <c r="N63" s="3">
        <v>0</v>
      </c>
      <c r="O63" s="21">
        <v>0</v>
      </c>
      <c r="P63" s="22">
        <v>0</v>
      </c>
      <c r="Q63" s="21">
        <v>350</v>
      </c>
      <c r="R63" s="21"/>
      <c r="S63" s="21">
        <v>0</v>
      </c>
      <c r="T63" s="23">
        <v>0</v>
      </c>
      <c r="U63" s="23"/>
      <c r="V63" s="23"/>
      <c r="W63" s="23"/>
      <c r="X63" s="23"/>
      <c r="Y63" s="24">
        <v>0</v>
      </c>
      <c r="Z63" s="22">
        <v>0</v>
      </c>
      <c r="AA63" s="22"/>
      <c r="AB63" s="23"/>
      <c r="AC63" s="19">
        <v>450</v>
      </c>
      <c r="AD63" s="25"/>
      <c r="AE63" s="25"/>
      <c r="AF63" s="27"/>
      <c r="AG63" s="27">
        <v>300</v>
      </c>
      <c r="AH63" s="27">
        <v>750</v>
      </c>
      <c r="AI63" s="28"/>
      <c r="AJ63" s="28"/>
      <c r="AK63" s="19"/>
      <c r="AM63">
        <v>17000</v>
      </c>
      <c r="AN63" s="3">
        <f>SUM(E63:AK63)-AM63+AL63</f>
        <v>7875.42</v>
      </c>
    </row>
    <row r="64" ht="15.75" spans="1:40">
      <c r="A64" s="17" t="s">
        <v>174</v>
      </c>
      <c r="B64" s="18" t="s">
        <v>175</v>
      </c>
      <c r="C64" s="18" t="s">
        <v>51</v>
      </c>
      <c r="D64" s="18" t="s">
        <v>171</v>
      </c>
      <c r="E64" s="19">
        <v>1000</v>
      </c>
      <c r="F64" s="20">
        <v>0</v>
      </c>
      <c r="G64" s="19">
        <v>0</v>
      </c>
      <c r="H64" s="19">
        <v>0</v>
      </c>
      <c r="I64" s="19">
        <v>3000</v>
      </c>
      <c r="J64" s="33">
        <v>12209.17</v>
      </c>
      <c r="K64" s="19">
        <v>500</v>
      </c>
      <c r="L64" s="19"/>
      <c r="M64" s="19"/>
      <c r="N64" s="3">
        <v>0</v>
      </c>
      <c r="O64" s="21">
        <v>600</v>
      </c>
      <c r="P64" s="22">
        <v>0</v>
      </c>
      <c r="Q64" s="21">
        <v>0</v>
      </c>
      <c r="R64" s="21"/>
      <c r="S64" s="21">
        <v>0</v>
      </c>
      <c r="T64" s="23">
        <v>0</v>
      </c>
      <c r="U64" s="23"/>
      <c r="V64" s="23"/>
      <c r="W64" s="23"/>
      <c r="X64" s="23"/>
      <c r="Y64" s="24">
        <v>0</v>
      </c>
      <c r="Z64" s="22">
        <v>0</v>
      </c>
      <c r="AA64" s="22"/>
      <c r="AB64" s="23"/>
      <c r="AC64" s="19">
        <v>130</v>
      </c>
      <c r="AD64" s="25"/>
      <c r="AE64" s="25"/>
      <c r="AF64" s="27"/>
      <c r="AG64" s="27">
        <v>200</v>
      </c>
      <c r="AH64" s="27">
        <v>750</v>
      </c>
      <c r="AI64" s="28"/>
      <c r="AJ64" s="28"/>
      <c r="AK64" s="19"/>
      <c r="AM64">
        <v>14000</v>
      </c>
      <c r="AN64" s="3">
        <f>SUM(E64:AK64)-AM64+AL64+8000</f>
        <v>12389.17</v>
      </c>
    </row>
    <row r="65" ht="15.75" spans="1:40">
      <c r="A65" s="17" t="s">
        <v>176</v>
      </c>
      <c r="B65" s="18" t="s">
        <v>177</v>
      </c>
      <c r="C65" s="18" t="s">
        <v>68</v>
      </c>
      <c r="D65" s="18" t="s">
        <v>171</v>
      </c>
      <c r="E65" s="19">
        <v>500</v>
      </c>
      <c r="F65" s="20">
        <v>0</v>
      </c>
      <c r="G65" s="19">
        <v>0</v>
      </c>
      <c r="H65" s="19">
        <v>0</v>
      </c>
      <c r="I65" s="19"/>
      <c r="J65" s="3"/>
      <c r="K65" s="19">
        <v>0</v>
      </c>
      <c r="L65" s="19"/>
      <c r="M65" s="19"/>
      <c r="N65" s="3">
        <v>0</v>
      </c>
      <c r="O65" s="21">
        <v>600</v>
      </c>
      <c r="P65" s="22">
        <v>0</v>
      </c>
      <c r="Q65" s="21">
        <v>350</v>
      </c>
      <c r="R65" s="21"/>
      <c r="S65" s="21">
        <v>0</v>
      </c>
      <c r="T65" s="23">
        <v>0</v>
      </c>
      <c r="U65" s="23">
        <v>200</v>
      </c>
      <c r="V65" s="23"/>
      <c r="W65" s="23">
        <v>1500</v>
      </c>
      <c r="X65" s="23">
        <v>160</v>
      </c>
      <c r="Y65" s="24">
        <v>200</v>
      </c>
      <c r="Z65" s="22">
        <v>0</v>
      </c>
      <c r="AA65" s="22"/>
      <c r="AB65" s="23"/>
      <c r="AC65" s="19">
        <v>700</v>
      </c>
      <c r="AD65" s="25"/>
      <c r="AE65" s="25"/>
      <c r="AF65" s="27"/>
      <c r="AG65" s="27">
        <v>300</v>
      </c>
      <c r="AH65" s="27">
        <v>750</v>
      </c>
      <c r="AI65" s="28"/>
      <c r="AJ65" s="28"/>
      <c r="AK65" s="19"/>
      <c r="AM65">
        <v>8400</v>
      </c>
      <c r="AN65" s="3">
        <f>SUM(E65:AK65)-AM65+AL65</f>
        <v>-3140</v>
      </c>
    </row>
    <row r="66" ht="15.75" spans="1:40">
      <c r="A66" s="17" t="s">
        <v>178</v>
      </c>
      <c r="B66" s="18" t="s">
        <v>179</v>
      </c>
      <c r="C66" s="18" t="s">
        <v>95</v>
      </c>
      <c r="D66" s="18" t="s">
        <v>171</v>
      </c>
      <c r="E66" s="19"/>
      <c r="F66" s="20">
        <v>0</v>
      </c>
      <c r="G66" s="19">
        <v>0</v>
      </c>
      <c r="H66" s="19">
        <v>200</v>
      </c>
      <c r="I66" s="19"/>
      <c r="J66" s="3">
        <v>15545.84</v>
      </c>
      <c r="K66" s="19">
        <v>0</v>
      </c>
      <c r="L66" s="19"/>
      <c r="M66" s="19"/>
      <c r="N66" s="3">
        <v>0</v>
      </c>
      <c r="O66" s="21">
        <v>600</v>
      </c>
      <c r="P66" s="22">
        <v>0</v>
      </c>
      <c r="Q66" s="21">
        <v>245</v>
      </c>
      <c r="R66" s="21"/>
      <c r="S66" s="21">
        <v>0</v>
      </c>
      <c r="T66" s="23">
        <v>0</v>
      </c>
      <c r="U66" s="23"/>
      <c r="V66" s="23"/>
      <c r="W66" s="23"/>
      <c r="X66" s="23"/>
      <c r="Y66" s="24">
        <v>0</v>
      </c>
      <c r="Z66" s="22">
        <v>0</v>
      </c>
      <c r="AA66" s="22"/>
      <c r="AB66" s="23"/>
      <c r="AC66" s="19">
        <v>350</v>
      </c>
      <c r="AD66" s="25"/>
      <c r="AE66" s="25"/>
      <c r="AF66" s="27"/>
      <c r="AG66" s="27">
        <v>100</v>
      </c>
      <c r="AH66" s="27">
        <v>750</v>
      </c>
      <c r="AI66" s="28"/>
      <c r="AJ66" s="28"/>
      <c r="AK66" s="19"/>
      <c r="AM66">
        <v>14000</v>
      </c>
      <c r="AN66" s="3">
        <f>SUM(E66:AK66)-AM66+AL66+1500</f>
        <v>5290.84</v>
      </c>
    </row>
    <row r="67" ht="15.75" spans="1:40">
      <c r="A67" s="17" t="s">
        <v>180</v>
      </c>
      <c r="B67" s="18" t="s">
        <v>181</v>
      </c>
      <c r="C67" s="18" t="s">
        <v>42</v>
      </c>
      <c r="D67" s="18" t="s">
        <v>171</v>
      </c>
      <c r="E67" s="19"/>
      <c r="F67" s="20">
        <v>0</v>
      </c>
      <c r="G67" s="19">
        <v>0</v>
      </c>
      <c r="H67" s="19">
        <v>0</v>
      </c>
      <c r="I67" s="19"/>
      <c r="J67" s="3"/>
      <c r="K67" s="19">
        <v>0</v>
      </c>
      <c r="L67" s="19"/>
      <c r="M67" s="19"/>
      <c r="N67" s="3">
        <v>0</v>
      </c>
      <c r="O67" s="21">
        <v>300</v>
      </c>
      <c r="P67" s="22">
        <v>0</v>
      </c>
      <c r="Q67" s="21">
        <v>0</v>
      </c>
      <c r="R67" s="21"/>
      <c r="S67" s="21">
        <v>0</v>
      </c>
      <c r="T67" s="23">
        <v>0</v>
      </c>
      <c r="U67" s="23"/>
      <c r="V67" s="23"/>
      <c r="W67" s="23"/>
      <c r="X67" s="23"/>
      <c r="Y67" s="24">
        <v>0</v>
      </c>
      <c r="Z67" s="22">
        <v>0</v>
      </c>
      <c r="AA67" s="22"/>
      <c r="AB67" s="23"/>
      <c r="AC67" s="19">
        <v>650</v>
      </c>
      <c r="AD67" s="25"/>
      <c r="AE67" s="25"/>
      <c r="AF67" s="27"/>
      <c r="AG67" s="27">
        <v>400</v>
      </c>
      <c r="AH67" s="27">
        <v>750</v>
      </c>
      <c r="AI67" s="28"/>
      <c r="AJ67" s="28"/>
      <c r="AK67" s="19"/>
      <c r="AM67">
        <v>7200</v>
      </c>
      <c r="AN67" s="3">
        <f>SUM(E67:AK67)-AM67+AL67</f>
        <v>-5100</v>
      </c>
    </row>
    <row r="68" ht="15.75" spans="1:40">
      <c r="A68" s="17" t="s">
        <v>182</v>
      </c>
      <c r="B68" s="18" t="s">
        <v>183</v>
      </c>
      <c r="C68" s="18" t="s">
        <v>57</v>
      </c>
      <c r="D68" s="18" t="s">
        <v>171</v>
      </c>
      <c r="E68" s="19"/>
      <c r="F68" s="20">
        <v>0</v>
      </c>
      <c r="G68" s="19">
        <v>0</v>
      </c>
      <c r="H68" s="19">
        <v>0</v>
      </c>
      <c r="I68" s="19"/>
      <c r="J68" s="3">
        <v>7772.91</v>
      </c>
      <c r="K68" s="19">
        <v>0</v>
      </c>
      <c r="L68" s="19"/>
      <c r="M68" s="19"/>
      <c r="N68" s="3">
        <v>0</v>
      </c>
      <c r="O68" s="21">
        <v>0</v>
      </c>
      <c r="P68" s="22">
        <v>0</v>
      </c>
      <c r="Q68" s="21">
        <v>0</v>
      </c>
      <c r="R68" s="21"/>
      <c r="S68" s="21">
        <v>0</v>
      </c>
      <c r="T68" s="23">
        <v>0</v>
      </c>
      <c r="U68" s="23"/>
      <c r="V68" s="23"/>
      <c r="W68" s="23"/>
      <c r="X68" s="23"/>
      <c r="Y68" s="24">
        <v>0</v>
      </c>
      <c r="Z68" s="22">
        <v>0</v>
      </c>
      <c r="AA68" s="22"/>
      <c r="AB68" s="23"/>
      <c r="AC68" s="19">
        <v>400</v>
      </c>
      <c r="AD68" s="25"/>
      <c r="AE68" s="25"/>
      <c r="AF68" s="27"/>
      <c r="AG68" s="27">
        <v>0</v>
      </c>
      <c r="AH68" s="27">
        <v>0</v>
      </c>
      <c r="AI68" s="28"/>
      <c r="AJ68" s="28"/>
      <c r="AK68" s="19"/>
      <c r="AM68">
        <v>7000</v>
      </c>
      <c r="AN68" s="3">
        <f>SUM(E68:AK68)-AM68+AL68</f>
        <v>1172.91</v>
      </c>
    </row>
    <row r="69" ht="15.75" spans="1:40">
      <c r="A69" s="17" t="s">
        <v>184</v>
      </c>
      <c r="B69" s="34" t="s">
        <v>185</v>
      </c>
      <c r="C69" s="18" t="s">
        <v>95</v>
      </c>
      <c r="D69" s="35" t="s">
        <v>171</v>
      </c>
      <c r="E69" s="36"/>
      <c r="F69" s="20">
        <v>0</v>
      </c>
      <c r="G69" s="19">
        <v>0</v>
      </c>
      <c r="H69" s="19">
        <v>0</v>
      </c>
      <c r="I69" s="36"/>
      <c r="J69" s="3">
        <v>2220.84</v>
      </c>
      <c r="K69" s="19">
        <v>0</v>
      </c>
      <c r="L69" s="36"/>
      <c r="M69" s="36"/>
      <c r="N69" s="3">
        <v>0</v>
      </c>
      <c r="O69" s="21">
        <v>0</v>
      </c>
      <c r="P69" s="22">
        <v>0</v>
      </c>
      <c r="Q69" s="21">
        <v>0</v>
      </c>
      <c r="R69" s="21"/>
      <c r="S69" s="21">
        <v>0</v>
      </c>
      <c r="T69" s="23">
        <v>0</v>
      </c>
      <c r="U69" s="23"/>
      <c r="V69" s="23"/>
      <c r="W69" s="23"/>
      <c r="X69" s="23"/>
      <c r="Y69" s="24">
        <v>0</v>
      </c>
      <c r="Z69" s="22">
        <v>0</v>
      </c>
      <c r="AA69" s="22"/>
      <c r="AB69" s="23"/>
      <c r="AC69" s="19">
        <v>150</v>
      </c>
      <c r="AD69" s="25"/>
      <c r="AE69" s="25"/>
      <c r="AF69" s="27"/>
      <c r="AG69" s="27">
        <v>0</v>
      </c>
      <c r="AH69" s="27">
        <v>0</v>
      </c>
      <c r="AI69" s="28"/>
      <c r="AJ69" s="28"/>
      <c r="AK69" s="19"/>
      <c r="AM69"/>
      <c r="AN69" s="3">
        <f>SUM(E69:AK69)-AM69+AL69</f>
        <v>2370.84</v>
      </c>
    </row>
    <row r="70" ht="15.75" spans="1:40">
      <c r="A70" s="17" t="s">
        <v>186</v>
      </c>
      <c r="B70" s="18" t="s">
        <v>187</v>
      </c>
      <c r="C70" s="18" t="s">
        <v>95</v>
      </c>
      <c r="D70" s="18" t="s">
        <v>188</v>
      </c>
      <c r="E70" s="19"/>
      <c r="F70" s="20">
        <v>0</v>
      </c>
      <c r="G70" s="19">
        <v>1320</v>
      </c>
      <c r="H70" s="19">
        <v>2400</v>
      </c>
      <c r="I70" s="19">
        <v>640</v>
      </c>
      <c r="J70" s="19"/>
      <c r="K70" s="19">
        <v>0</v>
      </c>
      <c r="L70" s="19"/>
      <c r="M70" s="19"/>
      <c r="N70" s="3">
        <v>0</v>
      </c>
      <c r="O70" s="21">
        <v>1800</v>
      </c>
      <c r="P70" s="22">
        <v>1200</v>
      </c>
      <c r="Q70" s="21">
        <v>490</v>
      </c>
      <c r="R70" s="21">
        <v>10000</v>
      </c>
      <c r="S70" s="21">
        <v>0</v>
      </c>
      <c r="T70" s="23">
        <v>0</v>
      </c>
      <c r="U70" s="23"/>
      <c r="V70" s="23"/>
      <c r="W70" s="23"/>
      <c r="X70" s="23"/>
      <c r="Y70" s="24">
        <v>2560</v>
      </c>
      <c r="Z70" s="22">
        <v>0</v>
      </c>
      <c r="AA70" s="22"/>
      <c r="AB70" s="23">
        <v>1000</v>
      </c>
      <c r="AC70" s="19">
        <v>50</v>
      </c>
      <c r="AD70" s="26">
        <v>0</v>
      </c>
      <c r="AE70" s="26"/>
      <c r="AF70" s="27"/>
      <c r="AG70" s="27">
        <v>100</v>
      </c>
      <c r="AH70" s="27">
        <v>1500</v>
      </c>
      <c r="AI70" s="28">
        <v>1000</v>
      </c>
      <c r="AJ70" s="28"/>
      <c r="AK70" s="37">
        <v>200</v>
      </c>
      <c r="AM70">
        <v>36000</v>
      </c>
      <c r="AN70" s="3">
        <f>SUM(E70:AK70)-AM70+AL70</f>
        <v>-11740</v>
      </c>
    </row>
    <row r="71" ht="15.75" spans="1:40">
      <c r="A71" s="17" t="s">
        <v>189</v>
      </c>
      <c r="B71" s="18" t="s">
        <v>190</v>
      </c>
      <c r="C71" s="18" t="s">
        <v>57</v>
      </c>
      <c r="D71" s="18" t="s">
        <v>188</v>
      </c>
      <c r="E71" s="19"/>
      <c r="F71" s="20">
        <v>0</v>
      </c>
      <c r="G71" s="19">
        <v>0</v>
      </c>
      <c r="H71" s="19">
        <v>0</v>
      </c>
      <c r="I71" s="19"/>
      <c r="J71" s="19"/>
      <c r="K71" s="19">
        <v>0</v>
      </c>
      <c r="L71" s="19"/>
      <c r="M71" s="19"/>
      <c r="N71" s="3">
        <v>0</v>
      </c>
      <c r="O71" s="21">
        <v>1800</v>
      </c>
      <c r="P71" s="22">
        <v>600</v>
      </c>
      <c r="Q71" s="21">
        <v>140</v>
      </c>
      <c r="R71" s="21"/>
      <c r="S71" s="21">
        <v>0</v>
      </c>
      <c r="T71" s="23">
        <v>0</v>
      </c>
      <c r="U71" s="23"/>
      <c r="V71" s="23"/>
      <c r="W71" s="23"/>
      <c r="X71" s="23"/>
      <c r="Y71" s="24">
        <v>0</v>
      </c>
      <c r="Z71" s="22">
        <v>0</v>
      </c>
      <c r="AA71" s="22"/>
      <c r="AB71" s="23"/>
      <c r="AC71" s="19"/>
      <c r="AD71" s="26"/>
      <c r="AE71" s="26"/>
      <c r="AF71" s="27"/>
      <c r="AG71" s="27">
        <v>100</v>
      </c>
      <c r="AH71" s="27">
        <v>1500</v>
      </c>
      <c r="AI71" s="28"/>
      <c r="AJ71" s="28"/>
      <c r="AK71" s="19"/>
      <c r="AL71" s="5">
        <v>-9652.73</v>
      </c>
      <c r="AM71">
        <v>16000</v>
      </c>
      <c r="AN71" s="3">
        <f>SUM(E71:AK71)-AM71+AL71</f>
        <v>-21512.73</v>
      </c>
    </row>
    <row r="72" ht="15.75" spans="1:40">
      <c r="A72" s="17" t="s">
        <v>191</v>
      </c>
      <c r="B72" s="18" t="s">
        <v>192</v>
      </c>
      <c r="C72" s="18" t="s">
        <v>57</v>
      </c>
      <c r="D72" s="18" t="s">
        <v>188</v>
      </c>
      <c r="E72" s="19"/>
      <c r="F72" s="20">
        <v>0</v>
      </c>
      <c r="G72" s="19">
        <v>410</v>
      </c>
      <c r="H72" s="19">
        <v>1200</v>
      </c>
      <c r="I72" s="19"/>
      <c r="J72" s="19"/>
      <c r="K72" s="19">
        <v>0</v>
      </c>
      <c r="L72" s="19"/>
      <c r="M72" s="19"/>
      <c r="N72" s="3">
        <v>0</v>
      </c>
      <c r="O72" s="21">
        <v>1800</v>
      </c>
      <c r="P72" s="22">
        <v>0</v>
      </c>
      <c r="Q72" s="21">
        <v>210</v>
      </c>
      <c r="R72" s="21"/>
      <c r="S72" s="21">
        <v>0</v>
      </c>
      <c r="T72" s="23">
        <v>0</v>
      </c>
      <c r="U72" s="23"/>
      <c r="V72" s="23"/>
      <c r="W72" s="23"/>
      <c r="X72" s="23"/>
      <c r="Y72" s="24">
        <v>0</v>
      </c>
      <c r="Z72" s="22">
        <v>0</v>
      </c>
      <c r="AA72" s="22"/>
      <c r="AB72" s="23"/>
      <c r="AC72" s="19">
        <v>100</v>
      </c>
      <c r="AD72" s="26">
        <v>0</v>
      </c>
      <c r="AE72" s="26"/>
      <c r="AF72" s="27"/>
      <c r="AG72" s="27">
        <v>200</v>
      </c>
      <c r="AH72" s="27">
        <v>1500</v>
      </c>
      <c r="AI72" s="28">
        <v>500</v>
      </c>
      <c r="AJ72" s="28"/>
      <c r="AK72" s="19"/>
      <c r="AM72">
        <v>36000</v>
      </c>
      <c r="AN72" s="3">
        <f>SUM(E72:AK72)-AM72+AL72</f>
        <v>-30080</v>
      </c>
    </row>
    <row r="73" ht="15.75" spans="1:40">
      <c r="A73" s="17" t="s">
        <v>193</v>
      </c>
      <c r="B73" s="18" t="s">
        <v>194</v>
      </c>
      <c r="C73" s="18" t="s">
        <v>68</v>
      </c>
      <c r="D73" s="18" t="s">
        <v>188</v>
      </c>
      <c r="E73" s="19">
        <v>1000</v>
      </c>
      <c r="F73" s="20">
        <v>0</v>
      </c>
      <c r="G73" s="19">
        <v>10</v>
      </c>
      <c r="H73" s="19">
        <v>8400</v>
      </c>
      <c r="I73" s="19">
        <v>3260</v>
      </c>
      <c r="J73" s="19"/>
      <c r="K73" s="19">
        <v>0</v>
      </c>
      <c r="L73" s="19"/>
      <c r="M73" s="19"/>
      <c r="N73" s="3">
        <v>0</v>
      </c>
      <c r="O73" s="21">
        <v>-600</v>
      </c>
      <c r="P73" s="22">
        <v>0</v>
      </c>
      <c r="Q73" s="21">
        <v>350</v>
      </c>
      <c r="R73" s="21"/>
      <c r="S73" s="21">
        <v>0</v>
      </c>
      <c r="T73" s="23">
        <v>0</v>
      </c>
      <c r="U73" s="23"/>
      <c r="V73" s="23"/>
      <c r="W73" s="23"/>
      <c r="X73" s="23"/>
      <c r="Y73" s="24">
        <v>0</v>
      </c>
      <c r="Z73" s="22">
        <v>80</v>
      </c>
      <c r="AA73" s="22"/>
      <c r="AB73" s="23"/>
      <c r="AC73" s="19">
        <v>50</v>
      </c>
      <c r="AD73" s="26">
        <v>0</v>
      </c>
      <c r="AE73" s="26"/>
      <c r="AF73" s="27"/>
      <c r="AG73" s="27">
        <v>300</v>
      </c>
      <c r="AH73" s="27">
        <v>1500</v>
      </c>
      <c r="AI73" s="28">
        <v>500</v>
      </c>
      <c r="AJ73" s="28"/>
      <c r="AK73" s="19"/>
      <c r="AM73">
        <v>36000</v>
      </c>
      <c r="AN73" s="3">
        <f>SUM(E73:AK73)-AM73+AL73</f>
        <v>-21150</v>
      </c>
    </row>
    <row r="74" ht="15.75" spans="1:40">
      <c r="A74" s="17" t="s">
        <v>195</v>
      </c>
      <c r="B74" s="18" t="s">
        <v>196</v>
      </c>
      <c r="C74" s="18" t="s">
        <v>102</v>
      </c>
      <c r="D74" s="18" t="s">
        <v>188</v>
      </c>
      <c r="E74" s="19"/>
      <c r="F74" s="20">
        <v>0</v>
      </c>
      <c r="G74" s="19">
        <v>1350</v>
      </c>
      <c r="H74" s="19">
        <v>12000</v>
      </c>
      <c r="I74" s="19">
        <v>11680</v>
      </c>
      <c r="J74" s="19"/>
      <c r="K74" s="19">
        <v>0</v>
      </c>
      <c r="L74" s="19"/>
      <c r="M74" s="19"/>
      <c r="N74" s="3">
        <v>4500</v>
      </c>
      <c r="O74" s="21">
        <v>600</v>
      </c>
      <c r="P74" s="22">
        <v>1200</v>
      </c>
      <c r="Q74" s="21">
        <v>420</v>
      </c>
      <c r="R74" s="21"/>
      <c r="S74" s="21">
        <v>0</v>
      </c>
      <c r="T74" s="23">
        <v>0</v>
      </c>
      <c r="U74" s="23"/>
      <c r="V74" s="23"/>
      <c r="W74" s="23">
        <v>2000</v>
      </c>
      <c r="X74" s="23"/>
      <c r="Y74" s="24">
        <v>400</v>
      </c>
      <c r="Z74" s="22">
        <v>0</v>
      </c>
      <c r="AA74" s="22"/>
      <c r="AB74" s="23"/>
      <c r="AC74" s="19">
        <v>430</v>
      </c>
      <c r="AD74" s="26">
        <v>0</v>
      </c>
      <c r="AE74" s="26"/>
      <c r="AF74" s="27"/>
      <c r="AG74" s="27">
        <v>200</v>
      </c>
      <c r="AH74" s="27">
        <v>1350</v>
      </c>
      <c r="AI74" s="28"/>
      <c r="AJ74" s="28"/>
      <c r="AK74" s="19"/>
      <c r="AM74">
        <v>36000</v>
      </c>
      <c r="AN74" s="3">
        <f>SUM(E74:AK74)-AM74+AL74</f>
        <v>130</v>
      </c>
    </row>
    <row r="75" ht="15.75" spans="1:40">
      <c r="A75" s="17" t="s">
        <v>197</v>
      </c>
      <c r="B75" s="18" t="s">
        <v>198</v>
      </c>
      <c r="C75" s="18" t="s">
        <v>95</v>
      </c>
      <c r="D75" s="18" t="s">
        <v>188</v>
      </c>
      <c r="E75" s="19"/>
      <c r="F75" s="20">
        <v>0</v>
      </c>
      <c r="G75" s="19">
        <v>862.5</v>
      </c>
      <c r="H75" s="19">
        <v>3800</v>
      </c>
      <c r="I75" s="19"/>
      <c r="J75" s="19"/>
      <c r="K75" s="19">
        <v>0</v>
      </c>
      <c r="L75" s="19"/>
      <c r="M75" s="19"/>
      <c r="N75" s="3">
        <v>3000</v>
      </c>
      <c r="O75" s="21">
        <v>1800</v>
      </c>
      <c r="P75" s="22">
        <v>600</v>
      </c>
      <c r="Q75" s="21">
        <v>245</v>
      </c>
      <c r="R75" s="21"/>
      <c r="S75" s="21">
        <v>0</v>
      </c>
      <c r="T75" s="23">
        <v>0</v>
      </c>
      <c r="U75" s="23"/>
      <c r="V75" s="23"/>
      <c r="W75" s="23"/>
      <c r="X75" s="23"/>
      <c r="Y75" s="24">
        <v>400</v>
      </c>
      <c r="Z75" s="22">
        <v>0</v>
      </c>
      <c r="AA75" s="22"/>
      <c r="AB75" s="23"/>
      <c r="AC75" s="19">
        <v>50</v>
      </c>
      <c r="AD75" s="26">
        <v>0</v>
      </c>
      <c r="AE75" s="26"/>
      <c r="AF75" s="27"/>
      <c r="AG75" s="27">
        <v>200</v>
      </c>
      <c r="AH75" s="27">
        <v>1500</v>
      </c>
      <c r="AI75" s="28"/>
      <c r="AJ75" s="28"/>
      <c r="AK75" s="19"/>
      <c r="AM75">
        <v>36000</v>
      </c>
      <c r="AN75" s="3">
        <f>SUM(E75:AK75)-AM75+AL75</f>
        <v>-23542.5</v>
      </c>
    </row>
    <row r="76" ht="15.75" spans="1:40">
      <c r="A76" s="17" t="s">
        <v>199</v>
      </c>
      <c r="B76" s="18" t="s">
        <v>200</v>
      </c>
      <c r="C76" s="18" t="s">
        <v>68</v>
      </c>
      <c r="D76" s="18" t="s">
        <v>188</v>
      </c>
      <c r="E76" s="19">
        <v>1500</v>
      </c>
      <c r="F76" s="20">
        <v>0</v>
      </c>
      <c r="G76" s="19">
        <v>0</v>
      </c>
      <c r="H76" s="19">
        <v>0</v>
      </c>
      <c r="I76" s="19">
        <v>4200</v>
      </c>
      <c r="J76" s="19"/>
      <c r="K76" s="19">
        <v>0</v>
      </c>
      <c r="L76" s="19"/>
      <c r="M76" s="19"/>
      <c r="N76" s="3">
        <v>0</v>
      </c>
      <c r="O76" s="21">
        <v>0</v>
      </c>
      <c r="P76" s="22">
        <v>0</v>
      </c>
      <c r="Q76" s="21">
        <v>0</v>
      </c>
      <c r="R76" s="21"/>
      <c r="S76" s="21">
        <v>0</v>
      </c>
      <c r="T76" s="23">
        <v>0</v>
      </c>
      <c r="U76" s="23"/>
      <c r="V76" s="23"/>
      <c r="W76" s="23">
        <v>6000</v>
      </c>
      <c r="X76" s="23"/>
      <c r="Y76" s="24">
        <v>800</v>
      </c>
      <c r="Z76" s="22">
        <v>320</v>
      </c>
      <c r="AA76" s="22"/>
      <c r="AB76" s="23"/>
      <c r="AC76" s="19"/>
      <c r="AD76" s="26">
        <v>0</v>
      </c>
      <c r="AE76" s="26"/>
      <c r="AF76" s="27"/>
      <c r="AG76" s="27">
        <v>700</v>
      </c>
      <c r="AH76" s="27">
        <v>1500</v>
      </c>
      <c r="AI76" s="28">
        <v>500</v>
      </c>
      <c r="AJ76" s="28"/>
      <c r="AK76" s="19"/>
      <c r="AM76">
        <v>36000</v>
      </c>
      <c r="AN76" s="3">
        <f>SUM(E76:AK76)-AM76+AL76</f>
        <v>-20480</v>
      </c>
    </row>
    <row r="77" ht="15.75" spans="1:40">
      <c r="A77" s="17" t="s">
        <v>201</v>
      </c>
      <c r="B77" s="18" t="s">
        <v>202</v>
      </c>
      <c r="C77" s="18" t="s">
        <v>51</v>
      </c>
      <c r="D77" s="18" t="s">
        <v>188</v>
      </c>
      <c r="E77" s="19"/>
      <c r="F77" s="20">
        <v>0</v>
      </c>
      <c r="G77" s="19">
        <v>2420</v>
      </c>
      <c r="H77" s="19">
        <v>9600</v>
      </c>
      <c r="I77" s="19">
        <v>320</v>
      </c>
      <c r="J77" s="19">
        <v>85150</v>
      </c>
      <c r="K77" s="19">
        <v>0</v>
      </c>
      <c r="L77" s="19"/>
      <c r="M77" s="19"/>
      <c r="N77" s="3">
        <v>0</v>
      </c>
      <c r="O77" s="21">
        <v>0</v>
      </c>
      <c r="P77" s="22">
        <v>0</v>
      </c>
      <c r="Q77" s="21">
        <v>0</v>
      </c>
      <c r="R77" s="21"/>
      <c r="S77" s="21">
        <v>0</v>
      </c>
      <c r="T77" s="23">
        <v>0</v>
      </c>
      <c r="U77" s="23"/>
      <c r="V77" s="23"/>
      <c r="W77" s="23"/>
      <c r="X77" s="23"/>
      <c r="Y77" s="24">
        <v>0</v>
      </c>
      <c r="Z77" s="22">
        <v>0</v>
      </c>
      <c r="AA77" s="22"/>
      <c r="AB77" s="23"/>
      <c r="AC77" s="19"/>
      <c r="AD77" s="26">
        <v>0</v>
      </c>
      <c r="AE77" s="26"/>
      <c r="AF77" s="27"/>
      <c r="AG77" s="27">
        <v>0</v>
      </c>
      <c r="AH77" s="27">
        <v>1500</v>
      </c>
      <c r="AI77" s="28">
        <v>400</v>
      </c>
      <c r="AJ77" s="28"/>
      <c r="AK77" s="19"/>
      <c r="AM77">
        <v>36000</v>
      </c>
      <c r="AN77" s="3">
        <f>SUM(E77:AK77)-AM77+AL77</f>
        <v>63390</v>
      </c>
    </row>
    <row r="78" ht="15.75" spans="1:40">
      <c r="A78" s="17" t="s">
        <v>203</v>
      </c>
      <c r="B78" s="18" t="s">
        <v>204</v>
      </c>
      <c r="C78" s="18" t="s">
        <v>68</v>
      </c>
      <c r="D78" s="18" t="s">
        <v>188</v>
      </c>
      <c r="E78" s="19">
        <v>3000</v>
      </c>
      <c r="F78" s="20"/>
      <c r="G78" s="19">
        <v>15626</v>
      </c>
      <c r="H78" s="19">
        <v>7600</v>
      </c>
      <c r="I78" s="19"/>
      <c r="J78" s="19"/>
      <c r="K78" s="19">
        <v>500</v>
      </c>
      <c r="L78" s="19"/>
      <c r="M78" s="19"/>
      <c r="N78" s="3">
        <v>0</v>
      </c>
      <c r="O78" s="21">
        <v>1800</v>
      </c>
      <c r="P78" s="22">
        <v>600</v>
      </c>
      <c r="Q78" s="21">
        <v>280</v>
      </c>
      <c r="R78" s="21"/>
      <c r="S78" s="21">
        <v>5752</v>
      </c>
      <c r="T78" s="23">
        <v>0</v>
      </c>
      <c r="U78" s="23">
        <v>800</v>
      </c>
      <c r="V78" s="23"/>
      <c r="W78" s="23">
        <v>14000</v>
      </c>
      <c r="X78" s="23"/>
      <c r="Y78" s="24">
        <v>4280</v>
      </c>
      <c r="Z78" s="22">
        <v>320</v>
      </c>
      <c r="AA78" s="22">
        <v>10000</v>
      </c>
      <c r="AB78" s="23"/>
      <c r="AC78" s="19"/>
      <c r="AD78" s="26">
        <v>0</v>
      </c>
      <c r="AE78" s="26">
        <v>4000</v>
      </c>
      <c r="AF78" s="27">
        <v>1000</v>
      </c>
      <c r="AG78" s="27">
        <v>300</v>
      </c>
      <c r="AH78" s="27">
        <v>1500</v>
      </c>
      <c r="AI78" s="28">
        <v>500</v>
      </c>
      <c r="AJ78" s="28"/>
      <c r="AK78" s="37">
        <v>200</v>
      </c>
      <c r="AM78">
        <v>36000</v>
      </c>
      <c r="AN78" s="3">
        <f>SUM(E78:AK78)-AM78+AL78-160000-122505.05-1500+2000</f>
        <v>-245947.05</v>
      </c>
    </row>
    <row r="79" ht="15.75" spans="1:40">
      <c r="A79" s="17" t="s">
        <v>205</v>
      </c>
      <c r="B79" s="18" t="s">
        <v>206</v>
      </c>
      <c r="C79" s="18" t="s">
        <v>57</v>
      </c>
      <c r="D79" s="18" t="s">
        <v>188</v>
      </c>
      <c r="E79" s="19"/>
      <c r="F79" s="20">
        <v>0</v>
      </c>
      <c r="G79" s="19">
        <v>200</v>
      </c>
      <c r="H79" s="19">
        <v>2400</v>
      </c>
      <c r="I79" s="19">
        <v>1920</v>
      </c>
      <c r="J79" s="19"/>
      <c r="K79" s="19">
        <v>0</v>
      </c>
      <c r="L79" s="19"/>
      <c r="M79" s="19"/>
      <c r="N79" s="3">
        <v>0</v>
      </c>
      <c r="O79" s="21">
        <v>600</v>
      </c>
      <c r="P79" s="22">
        <v>3000</v>
      </c>
      <c r="Q79" s="21">
        <v>2730</v>
      </c>
      <c r="R79" s="21"/>
      <c r="S79" s="21">
        <v>0</v>
      </c>
      <c r="T79" s="23">
        <v>0</v>
      </c>
      <c r="U79" s="23"/>
      <c r="V79" s="23"/>
      <c r="W79" s="23"/>
      <c r="X79" s="23"/>
      <c r="Y79" s="24">
        <v>600</v>
      </c>
      <c r="Z79" s="22">
        <v>0</v>
      </c>
      <c r="AA79" s="22"/>
      <c r="AB79" s="23">
        <v>1000</v>
      </c>
      <c r="AC79" s="19">
        <v>1530</v>
      </c>
      <c r="AD79" s="26">
        <v>0</v>
      </c>
      <c r="AE79" s="26"/>
      <c r="AF79" s="27"/>
      <c r="AG79" s="27">
        <v>100</v>
      </c>
      <c r="AH79" s="27">
        <v>1500</v>
      </c>
      <c r="AI79" s="28"/>
      <c r="AJ79" s="28"/>
      <c r="AK79" s="37">
        <v>200</v>
      </c>
      <c r="AM79">
        <v>36000</v>
      </c>
      <c r="AN79" s="3">
        <f>SUM(E79:AK79)-AM79+AL79</f>
        <v>-20220</v>
      </c>
    </row>
    <row r="80" ht="15.75" spans="1:40">
      <c r="A80" s="17" t="s">
        <v>207</v>
      </c>
      <c r="B80" s="18" t="s">
        <v>208</v>
      </c>
      <c r="C80" s="18" t="s">
        <v>51</v>
      </c>
      <c r="D80" s="18" t="s">
        <v>188</v>
      </c>
      <c r="E80" s="19"/>
      <c r="F80" s="20">
        <v>0</v>
      </c>
      <c r="G80" s="19">
        <v>520</v>
      </c>
      <c r="H80" s="19">
        <v>3600</v>
      </c>
      <c r="I80" s="19">
        <v>5760</v>
      </c>
      <c r="J80" s="19"/>
      <c r="K80" s="19">
        <v>0</v>
      </c>
      <c r="L80" s="19"/>
      <c r="M80" s="19"/>
      <c r="N80" s="3">
        <v>5625</v>
      </c>
      <c r="O80" s="21">
        <v>1800</v>
      </c>
      <c r="P80" s="22">
        <v>0</v>
      </c>
      <c r="Q80" s="21">
        <v>0</v>
      </c>
      <c r="R80" s="21"/>
      <c r="S80" s="21">
        <v>0</v>
      </c>
      <c r="T80" s="23">
        <v>0</v>
      </c>
      <c r="U80" s="23"/>
      <c r="V80" s="23"/>
      <c r="W80" s="23"/>
      <c r="X80" s="23"/>
      <c r="Y80" s="24">
        <v>0</v>
      </c>
      <c r="Z80" s="22">
        <v>0</v>
      </c>
      <c r="AA80" s="22"/>
      <c r="AB80" s="23"/>
      <c r="AC80" s="19">
        <v>110</v>
      </c>
      <c r="AD80" s="26">
        <v>0</v>
      </c>
      <c r="AE80" s="26"/>
      <c r="AF80" s="27"/>
      <c r="AG80" s="27">
        <v>200</v>
      </c>
      <c r="AH80" s="27">
        <v>1500</v>
      </c>
      <c r="AI80" s="28"/>
      <c r="AJ80" s="28"/>
      <c r="AK80" s="19"/>
      <c r="AM80">
        <v>36000</v>
      </c>
      <c r="AN80" s="3">
        <f>SUM(E80:AK80)-AM80+AL80+1000</f>
        <v>-15885</v>
      </c>
    </row>
    <row r="81" ht="15.75" spans="1:40">
      <c r="A81" s="17" t="s">
        <v>209</v>
      </c>
      <c r="B81" s="18" t="s">
        <v>210</v>
      </c>
      <c r="C81" s="18" t="s">
        <v>102</v>
      </c>
      <c r="D81" s="18" t="s">
        <v>188</v>
      </c>
      <c r="E81" s="19"/>
      <c r="F81" s="20">
        <v>25000</v>
      </c>
      <c r="G81" s="19">
        <v>11107.5</v>
      </c>
      <c r="H81" s="19">
        <v>6200</v>
      </c>
      <c r="I81" s="19">
        <v>35020</v>
      </c>
      <c r="J81" s="19"/>
      <c r="K81" s="19">
        <v>0</v>
      </c>
      <c r="L81" s="19"/>
      <c r="M81" s="19"/>
      <c r="N81" s="3">
        <v>6000</v>
      </c>
      <c r="O81" s="21">
        <v>600</v>
      </c>
      <c r="P81" s="22">
        <v>600</v>
      </c>
      <c r="Q81" s="21">
        <v>350</v>
      </c>
      <c r="R81" s="21"/>
      <c r="S81" s="21">
        <v>0</v>
      </c>
      <c r="T81" s="23">
        <v>0</v>
      </c>
      <c r="U81" s="23"/>
      <c r="V81" s="23"/>
      <c r="W81" s="23"/>
      <c r="X81" s="23"/>
      <c r="Y81" s="24">
        <v>0</v>
      </c>
      <c r="Z81" s="22">
        <v>0</v>
      </c>
      <c r="AA81" s="22"/>
      <c r="AB81" s="23"/>
      <c r="AC81" s="19">
        <v>50</v>
      </c>
      <c r="AD81" s="26"/>
      <c r="AE81" s="26">
        <v>4000</v>
      </c>
      <c r="AF81" s="27"/>
      <c r="AG81" s="27">
        <v>0</v>
      </c>
      <c r="AH81" s="27">
        <v>1500</v>
      </c>
      <c r="AI81" s="28">
        <v>500</v>
      </c>
      <c r="AJ81" s="28"/>
      <c r="AK81" s="19"/>
      <c r="AM81">
        <v>36000</v>
      </c>
      <c r="AN81" s="3">
        <f>SUM(E81:AK81)-AM81+AL81</f>
        <v>54927.5</v>
      </c>
    </row>
    <row r="82" ht="15.75" spans="1:40">
      <c r="A82" s="17" t="s">
        <v>211</v>
      </c>
      <c r="B82" s="18" t="s">
        <v>212</v>
      </c>
      <c r="C82" s="18" t="s">
        <v>51</v>
      </c>
      <c r="D82" s="18" t="s">
        <v>188</v>
      </c>
      <c r="E82" s="19"/>
      <c r="F82" s="20">
        <v>25000</v>
      </c>
      <c r="G82" s="19">
        <v>4723.5</v>
      </c>
      <c r="H82" s="19">
        <v>10600</v>
      </c>
      <c r="I82" s="19">
        <v>10380</v>
      </c>
      <c r="J82" s="32"/>
      <c r="K82" s="19">
        <v>0</v>
      </c>
      <c r="L82" s="19"/>
      <c r="M82" s="19"/>
      <c r="N82" s="3">
        <v>11936.4</v>
      </c>
      <c r="O82" s="21">
        <v>600</v>
      </c>
      <c r="P82" s="22">
        <v>1200</v>
      </c>
      <c r="Q82" s="21">
        <v>350</v>
      </c>
      <c r="R82" s="21"/>
      <c r="S82" s="21">
        <v>0</v>
      </c>
      <c r="T82" s="23">
        <v>0</v>
      </c>
      <c r="U82" s="23"/>
      <c r="V82" s="23"/>
      <c r="W82" s="23"/>
      <c r="X82" s="23"/>
      <c r="Y82" s="24">
        <v>0</v>
      </c>
      <c r="Z82" s="22">
        <v>0</v>
      </c>
      <c r="AA82" s="22"/>
      <c r="AB82" s="23"/>
      <c r="AC82" s="19">
        <v>750</v>
      </c>
      <c r="AD82" s="26">
        <v>8200</v>
      </c>
      <c r="AE82" s="26"/>
      <c r="AF82" s="27"/>
      <c r="AG82" s="27">
        <v>350</v>
      </c>
      <c r="AH82" s="27">
        <v>1500</v>
      </c>
      <c r="AI82" s="28">
        <v>400</v>
      </c>
      <c r="AJ82" s="28"/>
      <c r="AK82" s="19"/>
      <c r="AM82">
        <v>31200</v>
      </c>
      <c r="AN82" s="3">
        <f>SUM(E82:AK82)-AM82+AL82+2000</f>
        <v>46789.9</v>
      </c>
    </row>
    <row r="83" ht="15.75" spans="1:40">
      <c r="A83" s="17" t="s">
        <v>213</v>
      </c>
      <c r="B83" s="18" t="s">
        <v>214</v>
      </c>
      <c r="C83" s="18" t="s">
        <v>68</v>
      </c>
      <c r="D83" s="18" t="s">
        <v>215</v>
      </c>
      <c r="E83" s="19"/>
      <c r="F83" s="20">
        <v>0</v>
      </c>
      <c r="G83" s="19">
        <v>0</v>
      </c>
      <c r="H83" s="19">
        <v>0</v>
      </c>
      <c r="I83" s="19"/>
      <c r="J83" s="19"/>
      <c r="K83" s="19">
        <v>0</v>
      </c>
      <c r="L83" s="19"/>
      <c r="M83" s="19"/>
      <c r="N83" s="3">
        <v>0</v>
      </c>
      <c r="O83" s="21">
        <v>600</v>
      </c>
      <c r="P83" s="22">
        <v>0</v>
      </c>
      <c r="Q83" s="21">
        <v>0</v>
      </c>
      <c r="R83" s="21"/>
      <c r="S83" s="21">
        <v>0</v>
      </c>
      <c r="T83" s="23">
        <v>0</v>
      </c>
      <c r="U83" s="38">
        <v>800</v>
      </c>
      <c r="V83" s="23"/>
      <c r="W83" s="23">
        <v>500</v>
      </c>
      <c r="X83" s="23">
        <v>160</v>
      </c>
      <c r="Y83" s="24">
        <v>0</v>
      </c>
      <c r="Z83" s="22">
        <v>0</v>
      </c>
      <c r="AA83" s="22"/>
      <c r="AB83" s="23"/>
      <c r="AC83" s="19">
        <v>1000</v>
      </c>
      <c r="AD83" s="26">
        <v>0</v>
      </c>
      <c r="AE83" s="26"/>
      <c r="AF83" s="27"/>
      <c r="AG83" s="27">
        <v>500</v>
      </c>
      <c r="AH83" s="27">
        <v>1500</v>
      </c>
      <c r="AI83" s="28"/>
      <c r="AJ83" s="28"/>
      <c r="AK83" s="19"/>
      <c r="AM83">
        <v>24000</v>
      </c>
      <c r="AN83" s="3">
        <f>SUM(E83:AK83)-AM83+AL83</f>
        <v>-18940</v>
      </c>
    </row>
    <row r="84" ht="15.75" spans="1:40">
      <c r="A84" s="17" t="s">
        <v>216</v>
      </c>
      <c r="B84" s="18" t="s">
        <v>217</v>
      </c>
      <c r="C84" s="18" t="s">
        <v>61</v>
      </c>
      <c r="D84" s="18" t="s">
        <v>215</v>
      </c>
      <c r="E84" s="19"/>
      <c r="F84" s="20">
        <v>0</v>
      </c>
      <c r="G84" s="19">
        <v>0</v>
      </c>
      <c r="H84" s="19">
        <v>0</v>
      </c>
      <c r="I84" s="19"/>
      <c r="J84" s="19"/>
      <c r="K84" s="19">
        <v>0</v>
      </c>
      <c r="L84" s="19"/>
      <c r="M84" s="19"/>
      <c r="N84" s="3">
        <v>0</v>
      </c>
      <c r="O84" s="21">
        <v>0</v>
      </c>
      <c r="P84" s="22">
        <v>0</v>
      </c>
      <c r="Q84" s="21">
        <v>0</v>
      </c>
      <c r="R84" s="21"/>
      <c r="S84" s="21">
        <v>0</v>
      </c>
      <c r="T84" s="23">
        <v>0</v>
      </c>
      <c r="U84" s="23"/>
      <c r="V84" s="23"/>
      <c r="W84" s="23"/>
      <c r="X84" s="23"/>
      <c r="Y84" s="24">
        <v>0</v>
      </c>
      <c r="Z84" s="22">
        <v>0</v>
      </c>
      <c r="AA84" s="22"/>
      <c r="AB84" s="23"/>
      <c r="AC84" s="19">
        <v>230</v>
      </c>
      <c r="AD84" s="26">
        <v>0</v>
      </c>
      <c r="AE84" s="26"/>
      <c r="AF84" s="27"/>
      <c r="AG84" s="27">
        <v>400</v>
      </c>
      <c r="AH84" s="27">
        <v>1500</v>
      </c>
      <c r="AI84" s="28"/>
      <c r="AJ84" s="28"/>
      <c r="AK84" s="19"/>
      <c r="AM84">
        <v>24000</v>
      </c>
      <c r="AN84" s="3">
        <f>SUM(E84:AK84)-AM84+AL84</f>
        <v>-21870</v>
      </c>
    </row>
    <row r="85" ht="15.75" spans="1:40">
      <c r="A85" s="17" t="s">
        <v>218</v>
      </c>
      <c r="B85" s="18" t="s">
        <v>219</v>
      </c>
      <c r="C85" s="18" t="s">
        <v>57</v>
      </c>
      <c r="D85" s="18" t="s">
        <v>215</v>
      </c>
      <c r="E85" s="19"/>
      <c r="F85" s="20">
        <v>0</v>
      </c>
      <c r="G85" s="19">
        <v>0</v>
      </c>
      <c r="H85" s="19">
        <v>0</v>
      </c>
      <c r="I85" s="19"/>
      <c r="J85" s="19"/>
      <c r="K85" s="19">
        <v>0</v>
      </c>
      <c r="L85" s="19"/>
      <c r="M85" s="19"/>
      <c r="N85" s="3">
        <v>0</v>
      </c>
      <c r="O85" s="21">
        <v>-600</v>
      </c>
      <c r="P85" s="22">
        <v>0</v>
      </c>
      <c r="Q85" s="21">
        <v>210</v>
      </c>
      <c r="R85" s="21"/>
      <c r="S85" s="21">
        <v>0</v>
      </c>
      <c r="T85" s="23">
        <v>0</v>
      </c>
      <c r="U85" s="23"/>
      <c r="V85" s="23"/>
      <c r="W85" s="23"/>
      <c r="X85" s="23"/>
      <c r="Y85" s="24">
        <v>0</v>
      </c>
      <c r="Z85" s="22">
        <v>0</v>
      </c>
      <c r="AA85" s="22"/>
      <c r="AB85" s="23"/>
      <c r="AC85" s="19">
        <v>350</v>
      </c>
      <c r="AD85" s="26">
        <v>0</v>
      </c>
      <c r="AE85" s="26"/>
      <c r="AF85" s="27"/>
      <c r="AG85" s="27">
        <v>200</v>
      </c>
      <c r="AH85" s="27">
        <v>1350</v>
      </c>
      <c r="AI85" s="28"/>
      <c r="AJ85" s="28"/>
      <c r="AK85" s="19"/>
      <c r="AM85">
        <v>24000</v>
      </c>
      <c r="AN85" s="3">
        <f>SUM(E85:AK85)-AM85+AL85</f>
        <v>-22490</v>
      </c>
    </row>
    <row r="86" ht="15.75" spans="1:40">
      <c r="A86" s="17" t="s">
        <v>220</v>
      </c>
      <c r="B86" s="18" t="s">
        <v>221</v>
      </c>
      <c r="C86" s="18" t="s">
        <v>95</v>
      </c>
      <c r="D86" s="18" t="s">
        <v>215</v>
      </c>
      <c r="E86" s="19"/>
      <c r="F86" s="20">
        <v>0</v>
      </c>
      <c r="G86" s="19">
        <v>0</v>
      </c>
      <c r="H86" s="19">
        <v>0</v>
      </c>
      <c r="I86" s="19"/>
      <c r="J86" s="32"/>
      <c r="K86" s="19">
        <v>0</v>
      </c>
      <c r="L86" s="19"/>
      <c r="M86" s="19">
        <v>1000</v>
      </c>
      <c r="N86" s="3">
        <v>9750</v>
      </c>
      <c r="O86" s="21">
        <v>1800</v>
      </c>
      <c r="P86" s="22">
        <v>600</v>
      </c>
      <c r="Q86" s="21">
        <v>16450</v>
      </c>
      <c r="R86" s="21">
        <v>10000</v>
      </c>
      <c r="S86" s="21">
        <v>7040</v>
      </c>
      <c r="T86" s="23">
        <v>1862.4</v>
      </c>
      <c r="U86" s="23"/>
      <c r="V86" s="23"/>
      <c r="W86" s="23">
        <v>2000</v>
      </c>
      <c r="X86" s="23"/>
      <c r="Y86" s="24">
        <v>1200</v>
      </c>
      <c r="Z86" s="22">
        <v>160</v>
      </c>
      <c r="AA86" s="22"/>
      <c r="AB86" s="23"/>
      <c r="AC86" s="19">
        <v>1600</v>
      </c>
      <c r="AD86" s="26">
        <v>4000</v>
      </c>
      <c r="AE86" s="26"/>
      <c r="AF86" s="27"/>
      <c r="AG86" s="27">
        <v>400</v>
      </c>
      <c r="AH86" s="27">
        <v>1500</v>
      </c>
      <c r="AI86" s="28"/>
      <c r="AJ86" s="28"/>
      <c r="AK86" s="19"/>
      <c r="AM86">
        <v>24000</v>
      </c>
      <c r="AN86" s="3">
        <f>SUM(E86:AK86)-AM86+AL86</f>
        <v>35362.4</v>
      </c>
    </row>
    <row r="87" ht="15.75" spans="1:40">
      <c r="A87" s="17" t="s">
        <v>222</v>
      </c>
      <c r="B87" s="18" t="s">
        <v>223</v>
      </c>
      <c r="C87" s="18" t="s">
        <v>95</v>
      </c>
      <c r="D87" s="18" t="s">
        <v>215</v>
      </c>
      <c r="E87" s="19"/>
      <c r="F87" s="20">
        <v>0</v>
      </c>
      <c r="G87" s="19">
        <v>0</v>
      </c>
      <c r="H87" s="19">
        <v>0</v>
      </c>
      <c r="I87" s="19"/>
      <c r="J87" s="19"/>
      <c r="K87" s="19">
        <v>0</v>
      </c>
      <c r="L87" s="19"/>
      <c r="M87" s="19"/>
      <c r="N87" s="3">
        <v>0</v>
      </c>
      <c r="O87" s="21">
        <v>1800</v>
      </c>
      <c r="P87" s="22">
        <v>600</v>
      </c>
      <c r="Q87" s="21">
        <v>245</v>
      </c>
      <c r="R87" s="21"/>
      <c r="S87" s="21">
        <v>0</v>
      </c>
      <c r="T87" s="23">
        <v>0</v>
      </c>
      <c r="U87" s="23"/>
      <c r="V87" s="23"/>
      <c r="W87" s="23"/>
      <c r="X87" s="23"/>
      <c r="Y87" s="24">
        <v>320</v>
      </c>
      <c r="Z87" s="22">
        <v>80</v>
      </c>
      <c r="AA87" s="22"/>
      <c r="AB87" s="23"/>
      <c r="AC87" s="19">
        <v>450</v>
      </c>
      <c r="AD87" s="26">
        <v>0</v>
      </c>
      <c r="AE87" s="26"/>
      <c r="AF87" s="27"/>
      <c r="AG87" s="27">
        <v>400</v>
      </c>
      <c r="AH87" s="27">
        <v>1350</v>
      </c>
      <c r="AI87" s="28"/>
      <c r="AJ87" s="28"/>
      <c r="AK87" s="19"/>
      <c r="AM87">
        <v>24000</v>
      </c>
      <c r="AN87" s="3">
        <f>SUM(E87:AK87)-AM87+AL87</f>
        <v>-18755</v>
      </c>
    </row>
    <row r="88" ht="15.75" spans="1:40">
      <c r="A88" s="17" t="s">
        <v>224</v>
      </c>
      <c r="B88" s="18" t="s">
        <v>225</v>
      </c>
      <c r="C88" s="18" t="s">
        <v>68</v>
      </c>
      <c r="D88" s="18" t="s">
        <v>215</v>
      </c>
      <c r="E88" s="19"/>
      <c r="F88" s="20">
        <v>0</v>
      </c>
      <c r="G88" s="19">
        <v>0</v>
      </c>
      <c r="H88" s="19">
        <v>0</v>
      </c>
      <c r="I88" s="19"/>
      <c r="J88" s="19"/>
      <c r="K88" s="19">
        <v>0</v>
      </c>
      <c r="L88" s="19"/>
      <c r="M88" s="19"/>
      <c r="N88" s="3">
        <v>0</v>
      </c>
      <c r="O88" s="21">
        <v>0</v>
      </c>
      <c r="P88" s="22">
        <v>0</v>
      </c>
      <c r="Q88" s="21">
        <v>0</v>
      </c>
      <c r="R88" s="21"/>
      <c r="S88" s="21">
        <v>0</v>
      </c>
      <c r="T88" s="23">
        <v>0</v>
      </c>
      <c r="U88" s="23"/>
      <c r="V88" s="23"/>
      <c r="W88" s="23"/>
      <c r="X88" s="23"/>
      <c r="Y88" s="24">
        <v>0</v>
      </c>
      <c r="Z88" s="22">
        <v>0</v>
      </c>
      <c r="AA88" s="22"/>
      <c r="AB88" s="23"/>
      <c r="AC88" s="19"/>
      <c r="AD88" s="26">
        <v>0</v>
      </c>
      <c r="AE88" s="26"/>
      <c r="AF88" s="27"/>
      <c r="AG88" s="27">
        <v>700</v>
      </c>
      <c r="AH88" s="27">
        <v>1500</v>
      </c>
      <c r="AI88" s="28"/>
      <c r="AJ88" s="28"/>
      <c r="AK88" s="19"/>
      <c r="AM88">
        <v>24000</v>
      </c>
      <c r="AN88" s="3">
        <f>SUM(E88:AK88)-AM88+AL88</f>
        <v>-21800</v>
      </c>
    </row>
    <row r="89" ht="15.75" spans="1:40">
      <c r="A89" s="39" t="s">
        <v>226</v>
      </c>
      <c r="B89" s="18" t="s">
        <v>227</v>
      </c>
      <c r="C89" s="18" t="s">
        <v>54</v>
      </c>
      <c r="D89" s="18" t="s">
        <v>215</v>
      </c>
      <c r="E89" s="19"/>
      <c r="F89" s="20">
        <v>0</v>
      </c>
      <c r="G89" s="19">
        <v>550</v>
      </c>
      <c r="H89" s="19">
        <v>0</v>
      </c>
      <c r="I89" s="19"/>
      <c r="J89" s="19"/>
      <c r="K89" s="19">
        <v>0</v>
      </c>
      <c r="L89" s="19"/>
      <c r="M89" s="19"/>
      <c r="N89" s="3">
        <v>14430</v>
      </c>
      <c r="O89" s="21">
        <v>600</v>
      </c>
      <c r="P89" s="22">
        <v>0</v>
      </c>
      <c r="Q89" s="21">
        <v>70</v>
      </c>
      <c r="R89" s="21"/>
      <c r="S89" s="21">
        <v>0</v>
      </c>
      <c r="T89" s="23">
        <v>3052.8</v>
      </c>
      <c r="U89" s="23"/>
      <c r="V89" s="23">
        <v>3920</v>
      </c>
      <c r="W89" s="23"/>
      <c r="X89" s="23"/>
      <c r="Y89" s="24">
        <v>0</v>
      </c>
      <c r="Z89" s="22">
        <v>0</v>
      </c>
      <c r="AA89" s="22"/>
      <c r="AB89" s="23"/>
      <c r="AC89" s="19">
        <v>450</v>
      </c>
      <c r="AD89" s="26">
        <v>0</v>
      </c>
      <c r="AE89" s="26"/>
      <c r="AF89" s="27"/>
      <c r="AG89" s="27">
        <v>100</v>
      </c>
      <c r="AH89" s="27">
        <v>1500</v>
      </c>
      <c r="AI89" s="28"/>
      <c r="AJ89" s="28"/>
      <c r="AK89" s="19"/>
      <c r="AL89" s="5"/>
      <c r="AM89">
        <v>24000</v>
      </c>
      <c r="AN89" s="3">
        <f>SUM(E89:AK89)-AM89+AL89</f>
        <v>672.799999999999</v>
      </c>
    </row>
    <row r="90" ht="15.75" spans="1:40">
      <c r="A90" s="17" t="s">
        <v>228</v>
      </c>
      <c r="B90" s="18" t="s">
        <v>229</v>
      </c>
      <c r="C90" s="18" t="s">
        <v>57</v>
      </c>
      <c r="D90" s="18" t="s">
        <v>215</v>
      </c>
      <c r="E90" s="19"/>
      <c r="F90" s="20">
        <v>0</v>
      </c>
      <c r="G90" s="19">
        <v>0</v>
      </c>
      <c r="H90" s="19">
        <v>0</v>
      </c>
      <c r="I90" s="19">
        <v>1280</v>
      </c>
      <c r="J90" s="19"/>
      <c r="K90" s="19">
        <v>0</v>
      </c>
      <c r="L90" s="19"/>
      <c r="M90" s="19"/>
      <c r="N90" s="3">
        <v>5400</v>
      </c>
      <c r="O90" s="21">
        <v>600</v>
      </c>
      <c r="P90" s="22">
        <v>0</v>
      </c>
      <c r="Q90" s="21">
        <v>0</v>
      </c>
      <c r="R90" s="21"/>
      <c r="S90" s="21">
        <v>0</v>
      </c>
      <c r="T90" s="23">
        <v>0</v>
      </c>
      <c r="U90" s="23"/>
      <c r="V90" s="23"/>
      <c r="W90" s="23"/>
      <c r="X90" s="23"/>
      <c r="Y90" s="24">
        <v>80</v>
      </c>
      <c r="Z90" s="22">
        <v>0</v>
      </c>
      <c r="AA90" s="22"/>
      <c r="AB90" s="23"/>
      <c r="AC90" s="19">
        <v>500</v>
      </c>
      <c r="AD90" s="26">
        <v>0</v>
      </c>
      <c r="AE90" s="26"/>
      <c r="AF90" s="27"/>
      <c r="AG90" s="27">
        <v>100</v>
      </c>
      <c r="AH90" s="27">
        <v>1200</v>
      </c>
      <c r="AI90" s="28"/>
      <c r="AJ90" s="28"/>
      <c r="AK90" s="19"/>
      <c r="AM90">
        <v>24000</v>
      </c>
      <c r="AN90" s="3">
        <f>SUM(E90:AK90)-AM90+AL90</f>
        <v>-14840</v>
      </c>
    </row>
    <row r="91" ht="15.75" spans="1:40">
      <c r="A91" s="17" t="s">
        <v>230</v>
      </c>
      <c r="B91" s="18" t="s">
        <v>231</v>
      </c>
      <c r="C91" s="18" t="s">
        <v>102</v>
      </c>
      <c r="D91" s="18" t="s">
        <v>215</v>
      </c>
      <c r="E91" s="19"/>
      <c r="F91" s="20">
        <v>0</v>
      </c>
      <c r="G91" s="19">
        <v>0</v>
      </c>
      <c r="H91" s="19">
        <v>0</v>
      </c>
      <c r="I91" s="19">
        <v>160</v>
      </c>
      <c r="J91" s="19"/>
      <c r="K91" s="19">
        <v>0</v>
      </c>
      <c r="L91" s="19"/>
      <c r="M91" s="19"/>
      <c r="N91" s="3">
        <v>0</v>
      </c>
      <c r="O91" s="21">
        <v>1800</v>
      </c>
      <c r="P91" s="22">
        <v>3000</v>
      </c>
      <c r="Q91" s="21">
        <v>5040</v>
      </c>
      <c r="R91" s="21"/>
      <c r="S91" s="21">
        <v>0</v>
      </c>
      <c r="T91" s="23">
        <v>7530.6</v>
      </c>
      <c r="U91" s="23"/>
      <c r="V91" s="23"/>
      <c r="W91" s="23"/>
      <c r="X91" s="23">
        <v>1700</v>
      </c>
      <c r="Y91" s="24">
        <v>0</v>
      </c>
      <c r="Z91" s="22">
        <v>0</v>
      </c>
      <c r="AA91" s="22"/>
      <c r="AB91" s="23"/>
      <c r="AC91" s="19">
        <v>910</v>
      </c>
      <c r="AD91" s="26">
        <v>4000</v>
      </c>
      <c r="AE91" s="26"/>
      <c r="AF91" s="27"/>
      <c r="AG91" s="27">
        <v>250</v>
      </c>
      <c r="AH91" s="27">
        <v>1500</v>
      </c>
      <c r="AI91" s="28"/>
      <c r="AJ91" s="28"/>
      <c r="AK91" s="19"/>
      <c r="AM91">
        <v>24000</v>
      </c>
      <c r="AN91" s="3">
        <f>SUM(E91:AK91)-AM91+AL91+1500</f>
        <v>3390.6</v>
      </c>
    </row>
    <row r="92" ht="15.75" spans="1:40">
      <c r="A92" s="17" t="s">
        <v>232</v>
      </c>
      <c r="B92" s="18" t="s">
        <v>233</v>
      </c>
      <c r="C92" s="18" t="s">
        <v>95</v>
      </c>
      <c r="D92" s="18" t="s">
        <v>215</v>
      </c>
      <c r="E92" s="19"/>
      <c r="F92" s="20">
        <v>0</v>
      </c>
      <c r="G92" s="19">
        <v>2300</v>
      </c>
      <c r="H92" s="19">
        <v>0</v>
      </c>
      <c r="I92" s="19">
        <v>11680</v>
      </c>
      <c r="J92" s="19"/>
      <c r="K92" s="19">
        <v>0</v>
      </c>
      <c r="L92" s="19"/>
      <c r="M92" s="19"/>
      <c r="N92" s="3">
        <v>0</v>
      </c>
      <c r="O92" s="21">
        <v>1800</v>
      </c>
      <c r="P92" s="22">
        <v>0</v>
      </c>
      <c r="Q92" s="21">
        <v>245</v>
      </c>
      <c r="R92" s="21"/>
      <c r="S92" s="21">
        <v>0</v>
      </c>
      <c r="T92" s="23">
        <v>0</v>
      </c>
      <c r="U92" s="23"/>
      <c r="V92" s="23"/>
      <c r="W92" s="23"/>
      <c r="X92" s="23"/>
      <c r="Y92" s="24">
        <v>0</v>
      </c>
      <c r="Z92" s="22">
        <v>0</v>
      </c>
      <c r="AA92" s="22"/>
      <c r="AB92" s="23"/>
      <c r="AC92" s="19">
        <v>300</v>
      </c>
      <c r="AD92" s="26">
        <v>0</v>
      </c>
      <c r="AE92" s="26"/>
      <c r="AF92" s="27"/>
      <c r="AG92" s="27">
        <v>300</v>
      </c>
      <c r="AH92" s="27">
        <v>1500</v>
      </c>
      <c r="AI92" s="28"/>
      <c r="AJ92" s="28"/>
      <c r="AK92" s="19"/>
      <c r="AM92">
        <v>24000</v>
      </c>
      <c r="AN92" s="3">
        <f>SUM(E92:AK92)-AM92+AL92</f>
        <v>-5875</v>
      </c>
    </row>
    <row r="93" ht="15.75" spans="1:40">
      <c r="A93" s="17" t="s">
        <v>234</v>
      </c>
      <c r="B93" s="18" t="s">
        <v>235</v>
      </c>
      <c r="C93" s="18" t="s">
        <v>51</v>
      </c>
      <c r="D93" s="18" t="s">
        <v>215</v>
      </c>
      <c r="E93" s="19"/>
      <c r="F93" s="20">
        <v>0</v>
      </c>
      <c r="G93" s="19">
        <v>0</v>
      </c>
      <c r="H93" s="19">
        <v>0</v>
      </c>
      <c r="I93" s="19"/>
      <c r="J93" s="19"/>
      <c r="K93" s="19">
        <v>0</v>
      </c>
      <c r="L93" s="19"/>
      <c r="M93" s="19"/>
      <c r="N93" s="3">
        <v>600</v>
      </c>
      <c r="O93" s="21">
        <v>1800</v>
      </c>
      <c r="P93" s="22">
        <v>600</v>
      </c>
      <c r="Q93" s="21">
        <v>0</v>
      </c>
      <c r="R93" s="21"/>
      <c r="S93" s="21">
        <v>0</v>
      </c>
      <c r="T93" s="23">
        <v>0</v>
      </c>
      <c r="U93" s="23"/>
      <c r="V93" s="23"/>
      <c r="W93" s="23"/>
      <c r="X93" s="23"/>
      <c r="Y93" s="24">
        <v>0</v>
      </c>
      <c r="Z93" s="22">
        <v>0</v>
      </c>
      <c r="AA93" s="22"/>
      <c r="AB93" s="23"/>
      <c r="AC93" s="19">
        <v>580</v>
      </c>
      <c r="AD93" s="26">
        <v>0</v>
      </c>
      <c r="AE93" s="26"/>
      <c r="AF93" s="27"/>
      <c r="AG93" s="27">
        <v>100</v>
      </c>
      <c r="AH93" s="27">
        <v>1350</v>
      </c>
      <c r="AI93" s="28"/>
      <c r="AJ93" s="28"/>
      <c r="AK93" s="19"/>
      <c r="AM93">
        <v>24000</v>
      </c>
      <c r="AN93" s="3">
        <f>SUM(E93:AK93)-AM93+AL93</f>
        <v>-18970</v>
      </c>
    </row>
    <row r="94" ht="15.75" spans="1:40">
      <c r="A94" s="17" t="s">
        <v>236</v>
      </c>
      <c r="B94" s="18" t="s">
        <v>237</v>
      </c>
      <c r="C94" s="18" t="s">
        <v>51</v>
      </c>
      <c r="D94" s="18" t="s">
        <v>215</v>
      </c>
      <c r="E94" s="19"/>
      <c r="F94" s="20">
        <v>0</v>
      </c>
      <c r="G94" s="19">
        <v>0</v>
      </c>
      <c r="H94" s="19">
        <v>0</v>
      </c>
      <c r="I94" s="19"/>
      <c r="J94" s="19"/>
      <c r="K94" s="19">
        <v>0</v>
      </c>
      <c r="L94" s="19"/>
      <c r="M94" s="19"/>
      <c r="N94" s="3">
        <v>0</v>
      </c>
      <c r="O94" s="21">
        <v>1800</v>
      </c>
      <c r="P94" s="22">
        <v>0</v>
      </c>
      <c r="Q94" s="21">
        <v>0</v>
      </c>
      <c r="R94" s="21"/>
      <c r="S94" s="21">
        <v>0</v>
      </c>
      <c r="T94" s="23">
        <v>0</v>
      </c>
      <c r="U94" s="23"/>
      <c r="V94" s="23"/>
      <c r="W94" s="23"/>
      <c r="X94" s="23"/>
      <c r="Y94" s="24">
        <v>0</v>
      </c>
      <c r="Z94" s="22">
        <v>0</v>
      </c>
      <c r="AA94" s="22"/>
      <c r="AB94" s="23"/>
      <c r="AC94" s="19">
        <v>180</v>
      </c>
      <c r="AD94" s="26">
        <v>0</v>
      </c>
      <c r="AE94" s="26"/>
      <c r="AF94" s="27"/>
      <c r="AG94" s="27">
        <v>200</v>
      </c>
      <c r="AH94" s="27">
        <v>1500</v>
      </c>
      <c r="AI94" s="28"/>
      <c r="AJ94" s="28"/>
      <c r="AK94" s="19"/>
      <c r="AL94" s="5">
        <v>-1760.4</v>
      </c>
      <c r="AM94">
        <v>14000</v>
      </c>
      <c r="AN94" s="3">
        <f>SUM(E94:AK94)-AM94+AL94</f>
        <v>-12080.4</v>
      </c>
    </row>
    <row r="95" ht="15.75" spans="1:40">
      <c r="A95" s="17" t="s">
        <v>238</v>
      </c>
      <c r="B95" s="18" t="s">
        <v>239</v>
      </c>
      <c r="C95" s="18" t="s">
        <v>57</v>
      </c>
      <c r="D95" s="18" t="s">
        <v>215</v>
      </c>
      <c r="E95" s="19"/>
      <c r="F95" s="20">
        <v>0</v>
      </c>
      <c r="G95" s="19">
        <v>0</v>
      </c>
      <c r="H95" s="19">
        <v>0</v>
      </c>
      <c r="I95" s="19"/>
      <c r="J95" s="19"/>
      <c r="K95" s="19">
        <v>0</v>
      </c>
      <c r="L95" s="19"/>
      <c r="M95" s="19"/>
      <c r="N95" s="3">
        <v>0</v>
      </c>
      <c r="O95" s="21">
        <v>1200</v>
      </c>
      <c r="P95" s="22">
        <v>600</v>
      </c>
      <c r="Q95" s="21">
        <v>140</v>
      </c>
      <c r="R95" s="21"/>
      <c r="S95" s="21">
        <v>0</v>
      </c>
      <c r="T95" s="23">
        <v>0</v>
      </c>
      <c r="U95" s="23"/>
      <c r="V95" s="23"/>
      <c r="W95" s="23"/>
      <c r="X95" s="23"/>
      <c r="Y95" s="24">
        <v>0</v>
      </c>
      <c r="Z95" s="22">
        <v>0</v>
      </c>
      <c r="AA95" s="22"/>
      <c r="AB95" s="23"/>
      <c r="AC95" s="19">
        <v>400</v>
      </c>
      <c r="AD95" s="26">
        <v>0</v>
      </c>
      <c r="AE95" s="26"/>
      <c r="AF95" s="27"/>
      <c r="AG95" s="27">
        <v>200</v>
      </c>
      <c r="AH95" s="27">
        <v>0</v>
      </c>
      <c r="AI95" s="28"/>
      <c r="AJ95" s="28"/>
      <c r="AK95" s="19"/>
      <c r="AM95">
        <v>24000</v>
      </c>
      <c r="AN95" s="3">
        <f>SUM(E95:AK95)-AM95+AL95</f>
        <v>-21460</v>
      </c>
    </row>
    <row r="96" ht="15.75" spans="1:40">
      <c r="A96" s="17" t="s">
        <v>240</v>
      </c>
      <c r="B96" s="18" t="s">
        <v>241</v>
      </c>
      <c r="C96" s="18" t="s">
        <v>95</v>
      </c>
      <c r="D96" s="18" t="s">
        <v>215</v>
      </c>
      <c r="E96" s="19"/>
      <c r="F96" s="20">
        <v>0</v>
      </c>
      <c r="G96" s="19">
        <v>100</v>
      </c>
      <c r="H96" s="19">
        <v>1200</v>
      </c>
      <c r="I96" s="19"/>
      <c r="J96" s="19"/>
      <c r="K96" s="19">
        <v>0</v>
      </c>
      <c r="L96" s="19"/>
      <c r="M96" s="19"/>
      <c r="N96" s="3">
        <v>30621.6</v>
      </c>
      <c r="O96" s="21">
        <v>1800</v>
      </c>
      <c r="P96" s="22">
        <v>600</v>
      </c>
      <c r="Q96" s="21">
        <v>315</v>
      </c>
      <c r="R96" s="21"/>
      <c r="S96" s="21">
        <v>0</v>
      </c>
      <c r="T96" s="23">
        <v>0</v>
      </c>
      <c r="U96" s="23"/>
      <c r="V96" s="23"/>
      <c r="W96" s="23"/>
      <c r="X96" s="23"/>
      <c r="Y96" s="24">
        <v>0</v>
      </c>
      <c r="Z96" s="22">
        <v>0</v>
      </c>
      <c r="AA96" s="22"/>
      <c r="AB96" s="23"/>
      <c r="AC96" s="19">
        <v>480</v>
      </c>
      <c r="AD96" s="26">
        <v>0</v>
      </c>
      <c r="AE96" s="26"/>
      <c r="AF96" s="27"/>
      <c r="AG96" s="27">
        <v>0</v>
      </c>
      <c r="AH96" s="27">
        <v>1500</v>
      </c>
      <c r="AI96" s="28"/>
      <c r="AJ96" s="28"/>
      <c r="AK96" s="19"/>
      <c r="AM96">
        <v>24000</v>
      </c>
      <c r="AN96" s="3">
        <f>SUM(E96:AK96)-AM96+AL96</f>
        <v>12616.6</v>
      </c>
    </row>
    <row r="97" ht="15.75" spans="1:40">
      <c r="A97" s="17" t="s">
        <v>242</v>
      </c>
      <c r="B97" s="18" t="s">
        <v>243</v>
      </c>
      <c r="C97" s="18" t="s">
        <v>68</v>
      </c>
      <c r="D97" s="18" t="s">
        <v>215</v>
      </c>
      <c r="E97" s="19"/>
      <c r="F97" s="20">
        <v>0</v>
      </c>
      <c r="G97" s="19">
        <v>0</v>
      </c>
      <c r="H97" s="19">
        <v>0</v>
      </c>
      <c r="I97" s="19"/>
      <c r="J97" s="19"/>
      <c r="K97" s="19">
        <v>0</v>
      </c>
      <c r="L97" s="19"/>
      <c r="M97" s="19"/>
      <c r="N97" s="3">
        <v>0</v>
      </c>
      <c r="O97" s="21">
        <v>0</v>
      </c>
      <c r="P97" s="22">
        <v>0</v>
      </c>
      <c r="Q97" s="21">
        <v>350</v>
      </c>
      <c r="R97" s="21"/>
      <c r="S97" s="21">
        <v>0</v>
      </c>
      <c r="T97" s="23">
        <v>0</v>
      </c>
      <c r="U97" s="23"/>
      <c r="V97" s="23"/>
      <c r="W97" s="23"/>
      <c r="X97" s="23"/>
      <c r="Y97" s="24"/>
      <c r="Z97" s="22"/>
      <c r="AA97" s="22"/>
      <c r="AB97" s="23"/>
      <c r="AC97" s="19"/>
      <c r="AD97" s="26"/>
      <c r="AE97" s="26"/>
      <c r="AF97" s="27"/>
      <c r="AG97" s="27">
        <v>100</v>
      </c>
      <c r="AH97" s="27">
        <v>1500</v>
      </c>
      <c r="AI97" s="28">
        <v>300</v>
      </c>
      <c r="AJ97" s="28"/>
      <c r="AK97" s="19"/>
      <c r="AM97">
        <v>24000</v>
      </c>
      <c r="AN97" s="3">
        <f>SUM(E97:AK97)-AM97+AL97</f>
        <v>-21750</v>
      </c>
    </row>
    <row r="98" ht="15.75" spans="1:40">
      <c r="A98" s="17" t="s">
        <v>244</v>
      </c>
      <c r="B98" s="18" t="s">
        <v>245</v>
      </c>
      <c r="C98" s="18" t="s">
        <v>57</v>
      </c>
      <c r="D98" s="18" t="s">
        <v>215</v>
      </c>
      <c r="E98" s="19"/>
      <c r="F98" s="20">
        <v>0</v>
      </c>
      <c r="G98" s="19">
        <v>0</v>
      </c>
      <c r="H98" s="19">
        <v>0</v>
      </c>
      <c r="I98" s="19"/>
      <c r="J98" s="19"/>
      <c r="K98" s="19">
        <v>0</v>
      </c>
      <c r="L98" s="19"/>
      <c r="M98" s="19"/>
      <c r="N98" s="3">
        <v>0</v>
      </c>
      <c r="O98" s="21">
        <v>1800</v>
      </c>
      <c r="P98" s="22">
        <v>1200</v>
      </c>
      <c r="Q98" s="21">
        <v>2240</v>
      </c>
      <c r="R98" s="21"/>
      <c r="S98" s="21">
        <v>0</v>
      </c>
      <c r="T98" s="23">
        <v>0</v>
      </c>
      <c r="U98" s="23"/>
      <c r="V98" s="23"/>
      <c r="W98" s="23">
        <v>3000</v>
      </c>
      <c r="X98" s="23"/>
      <c r="Y98" s="24">
        <v>2800</v>
      </c>
      <c r="Z98" s="22">
        <v>0</v>
      </c>
      <c r="AA98" s="22"/>
      <c r="AB98" s="23"/>
      <c r="AC98" s="19">
        <v>180</v>
      </c>
      <c r="AD98" s="26">
        <v>0</v>
      </c>
      <c r="AE98" s="26"/>
      <c r="AF98" s="27"/>
      <c r="AG98" s="27">
        <v>100</v>
      </c>
      <c r="AH98" s="27">
        <v>1500</v>
      </c>
      <c r="AI98" s="28"/>
      <c r="AJ98" s="28"/>
      <c r="AK98" s="19"/>
      <c r="AM98">
        <v>24000</v>
      </c>
      <c r="AN98" s="3">
        <f>SUM(E98:AK98)-AM98+AL98</f>
        <v>-11180</v>
      </c>
    </row>
    <row r="99" ht="15.75" spans="1:40">
      <c r="A99" s="17" t="s">
        <v>246</v>
      </c>
      <c r="B99" s="18" t="s">
        <v>247</v>
      </c>
      <c r="C99" s="18" t="s">
        <v>57</v>
      </c>
      <c r="D99" s="18" t="s">
        <v>215</v>
      </c>
      <c r="E99" s="19"/>
      <c r="F99" s="20">
        <v>0</v>
      </c>
      <c r="G99" s="19">
        <v>0</v>
      </c>
      <c r="H99" s="19">
        <v>0</v>
      </c>
      <c r="I99" s="19"/>
      <c r="J99" s="19"/>
      <c r="K99" s="19">
        <v>0</v>
      </c>
      <c r="L99" s="19"/>
      <c r="M99" s="19"/>
      <c r="N99" s="3">
        <v>0</v>
      </c>
      <c r="O99" s="21">
        <v>1800</v>
      </c>
      <c r="P99" s="22">
        <v>1800</v>
      </c>
      <c r="Q99" s="21">
        <v>490</v>
      </c>
      <c r="R99" s="21"/>
      <c r="S99" s="21">
        <v>0</v>
      </c>
      <c r="T99" s="23">
        <v>0</v>
      </c>
      <c r="U99" s="23"/>
      <c r="V99" s="23"/>
      <c r="W99" s="23"/>
      <c r="X99" s="23"/>
      <c r="Y99" s="24">
        <v>0</v>
      </c>
      <c r="Z99" s="22">
        <v>0</v>
      </c>
      <c r="AA99" s="22"/>
      <c r="AB99" s="23"/>
      <c r="AC99" s="19">
        <v>300</v>
      </c>
      <c r="AD99" s="26">
        <v>0</v>
      </c>
      <c r="AE99" s="26"/>
      <c r="AF99" s="27"/>
      <c r="AG99" s="27">
        <v>400</v>
      </c>
      <c r="AH99" s="27">
        <v>1500</v>
      </c>
      <c r="AI99" s="28"/>
      <c r="AJ99" s="28"/>
      <c r="AK99" s="19"/>
      <c r="AM99">
        <v>24000</v>
      </c>
      <c r="AN99" s="3">
        <f>SUM(E99:AK99)-AM99+AL99</f>
        <v>-17710</v>
      </c>
    </row>
    <row r="100" ht="15.75" spans="1:40">
      <c r="A100" s="17" t="s">
        <v>248</v>
      </c>
      <c r="B100" s="18" t="s">
        <v>249</v>
      </c>
      <c r="C100" s="18" t="s">
        <v>95</v>
      </c>
      <c r="D100" s="18" t="s">
        <v>215</v>
      </c>
      <c r="E100" s="19"/>
      <c r="F100" s="20">
        <v>0</v>
      </c>
      <c r="G100" s="19">
        <v>0</v>
      </c>
      <c r="H100" s="19">
        <v>0</v>
      </c>
      <c r="I100" s="19"/>
      <c r="J100" s="19"/>
      <c r="K100" s="19">
        <v>0</v>
      </c>
      <c r="L100" s="19"/>
      <c r="M100" s="19"/>
      <c r="N100" s="3">
        <v>0</v>
      </c>
      <c r="O100" s="21">
        <v>1800</v>
      </c>
      <c r="P100" s="22">
        <v>1800</v>
      </c>
      <c r="Q100" s="21">
        <v>245</v>
      </c>
      <c r="R100" s="21"/>
      <c r="S100" s="21">
        <v>0</v>
      </c>
      <c r="T100" s="23">
        <v>0</v>
      </c>
      <c r="U100" s="23"/>
      <c r="V100" s="23"/>
      <c r="W100" s="23"/>
      <c r="X100" s="23"/>
      <c r="Y100" s="24">
        <v>0</v>
      </c>
      <c r="Z100" s="22">
        <v>0</v>
      </c>
      <c r="AA100" s="22"/>
      <c r="AB100" s="23"/>
      <c r="AC100" s="19">
        <v>380</v>
      </c>
      <c r="AD100" s="26">
        <v>0</v>
      </c>
      <c r="AE100" s="26"/>
      <c r="AF100" s="27"/>
      <c r="AG100" s="27">
        <v>300</v>
      </c>
      <c r="AH100" s="27">
        <v>1500</v>
      </c>
      <c r="AI100" s="28"/>
      <c r="AJ100" s="28"/>
      <c r="AK100" s="19"/>
      <c r="AM100">
        <v>24000</v>
      </c>
      <c r="AN100" s="3">
        <f>SUM(E100:AK100)-AM100+AL100</f>
        <v>-17975</v>
      </c>
    </row>
    <row r="101" ht="15.75" spans="1:40">
      <c r="A101" s="17" t="s">
        <v>250</v>
      </c>
      <c r="B101" s="18" t="s">
        <v>251</v>
      </c>
      <c r="C101" s="18" t="s">
        <v>61</v>
      </c>
      <c r="D101" s="18" t="s">
        <v>215</v>
      </c>
      <c r="E101" s="19"/>
      <c r="F101" s="20">
        <v>0</v>
      </c>
      <c r="G101" s="19">
        <v>0</v>
      </c>
      <c r="H101" s="19">
        <v>0</v>
      </c>
      <c r="I101" s="19"/>
      <c r="J101" s="19"/>
      <c r="K101" s="19">
        <v>0</v>
      </c>
      <c r="L101" s="19">
        <v>2500</v>
      </c>
      <c r="M101" s="19"/>
      <c r="N101" s="3">
        <v>0</v>
      </c>
      <c r="O101" s="21">
        <v>0</v>
      </c>
      <c r="P101" s="22">
        <v>0</v>
      </c>
      <c r="Q101" s="21">
        <v>0</v>
      </c>
      <c r="R101" s="21"/>
      <c r="S101" s="21">
        <v>0</v>
      </c>
      <c r="T101" s="23">
        <v>0</v>
      </c>
      <c r="U101" s="23"/>
      <c r="V101" s="23"/>
      <c r="W101" s="23"/>
      <c r="X101" s="23"/>
      <c r="Y101" s="24">
        <v>0</v>
      </c>
      <c r="Z101" s="22">
        <v>560</v>
      </c>
      <c r="AA101" s="22"/>
      <c r="AB101" s="23"/>
      <c r="AC101" s="19">
        <v>450</v>
      </c>
      <c r="AD101" s="26">
        <v>4000</v>
      </c>
      <c r="AE101" s="26"/>
      <c r="AF101" s="27"/>
      <c r="AG101" s="27">
        <v>200</v>
      </c>
      <c r="AH101" s="27">
        <v>1500</v>
      </c>
      <c r="AI101" s="28">
        <v>300</v>
      </c>
      <c r="AJ101" s="28"/>
      <c r="AK101" s="19"/>
      <c r="AM101">
        <v>24000</v>
      </c>
      <c r="AN101" s="3">
        <f>SUM(E101:AK101)-AM101+AL101</f>
        <v>-14490</v>
      </c>
    </row>
    <row r="102" ht="15.75" spans="1:40">
      <c r="A102" s="17" t="s">
        <v>252</v>
      </c>
      <c r="B102" s="18" t="s">
        <v>253</v>
      </c>
      <c r="C102" s="18" t="s">
        <v>51</v>
      </c>
      <c r="D102" s="18" t="s">
        <v>215</v>
      </c>
      <c r="E102" s="19"/>
      <c r="F102" s="20">
        <v>0</v>
      </c>
      <c r="G102" s="19">
        <v>0</v>
      </c>
      <c r="H102" s="19">
        <v>0</v>
      </c>
      <c r="I102" s="19"/>
      <c r="J102" s="19"/>
      <c r="K102" s="19">
        <v>0</v>
      </c>
      <c r="L102" s="19"/>
      <c r="M102" s="19"/>
      <c r="N102" s="3">
        <v>0</v>
      </c>
      <c r="O102" s="21">
        <v>600</v>
      </c>
      <c r="P102" s="22">
        <v>600</v>
      </c>
      <c r="Q102" s="21">
        <v>0</v>
      </c>
      <c r="R102" s="21"/>
      <c r="S102" s="21">
        <v>0</v>
      </c>
      <c r="T102" s="23">
        <v>0</v>
      </c>
      <c r="U102" s="23"/>
      <c r="V102" s="23"/>
      <c r="W102" s="23"/>
      <c r="X102" s="23"/>
      <c r="Y102" s="24">
        <v>0</v>
      </c>
      <c r="Z102" s="22">
        <v>0</v>
      </c>
      <c r="AA102" s="22"/>
      <c r="AB102" s="23"/>
      <c r="AC102" s="19">
        <v>430</v>
      </c>
      <c r="AD102" s="26">
        <v>0</v>
      </c>
      <c r="AE102" s="26"/>
      <c r="AF102" s="27"/>
      <c r="AG102" s="27">
        <v>100</v>
      </c>
      <c r="AH102" s="27">
        <v>1500</v>
      </c>
      <c r="AI102" s="28"/>
      <c r="AJ102" s="28"/>
      <c r="AK102" s="19"/>
      <c r="AM102">
        <v>24000</v>
      </c>
      <c r="AN102" s="3">
        <f>SUM(E102:AK102)-AM102+AL102</f>
        <v>-20770</v>
      </c>
    </row>
    <row r="103" ht="15.75" spans="1:40">
      <c r="A103" s="17" t="s">
        <v>254</v>
      </c>
      <c r="B103" s="18" t="s">
        <v>255</v>
      </c>
      <c r="C103" s="18" t="s">
        <v>57</v>
      </c>
      <c r="D103" s="18" t="s">
        <v>215</v>
      </c>
      <c r="E103" s="19"/>
      <c r="F103" s="20">
        <v>0</v>
      </c>
      <c r="G103" s="19">
        <v>0</v>
      </c>
      <c r="H103" s="19">
        <v>0</v>
      </c>
      <c r="I103" s="19"/>
      <c r="J103" s="19"/>
      <c r="K103" s="19">
        <v>0</v>
      </c>
      <c r="L103" s="19"/>
      <c r="M103" s="19"/>
      <c r="N103" s="3">
        <v>0</v>
      </c>
      <c r="O103" s="21">
        <v>1800</v>
      </c>
      <c r="P103" s="22">
        <v>600</v>
      </c>
      <c r="Q103" s="21">
        <v>315</v>
      </c>
      <c r="R103" s="21"/>
      <c r="S103" s="21">
        <v>240</v>
      </c>
      <c r="T103" s="23">
        <v>7974.4</v>
      </c>
      <c r="U103" s="23"/>
      <c r="V103" s="23"/>
      <c r="W103" s="23"/>
      <c r="X103" s="23"/>
      <c r="Y103" s="24">
        <v>0</v>
      </c>
      <c r="Z103" s="22">
        <v>0</v>
      </c>
      <c r="AA103" s="22"/>
      <c r="AB103" s="23"/>
      <c r="AC103" s="19">
        <v>800</v>
      </c>
      <c r="AD103" s="26">
        <v>0</v>
      </c>
      <c r="AE103" s="26"/>
      <c r="AF103" s="27"/>
      <c r="AG103" s="27">
        <v>200</v>
      </c>
      <c r="AH103" s="27">
        <v>1500</v>
      </c>
      <c r="AI103" s="28"/>
      <c r="AJ103" s="28"/>
      <c r="AK103" s="19"/>
      <c r="AM103">
        <v>24000</v>
      </c>
      <c r="AN103" s="3">
        <f>SUM(E103:AK103)-AM103+AL103+40000</f>
        <v>29429.4</v>
      </c>
    </row>
    <row r="104" ht="15.75" spans="1:40">
      <c r="A104" s="17" t="s">
        <v>256</v>
      </c>
      <c r="B104" s="18" t="s">
        <v>257</v>
      </c>
      <c r="C104" s="18" t="s">
        <v>57</v>
      </c>
      <c r="D104" s="18" t="s">
        <v>215</v>
      </c>
      <c r="E104" s="19"/>
      <c r="F104" s="20">
        <v>0</v>
      </c>
      <c r="G104" s="19">
        <v>650</v>
      </c>
      <c r="H104" s="19">
        <v>2400</v>
      </c>
      <c r="I104" s="19">
        <v>1120</v>
      </c>
      <c r="J104" s="19"/>
      <c r="K104" s="19">
        <v>500</v>
      </c>
      <c r="L104" s="19"/>
      <c r="M104" s="19"/>
      <c r="N104" s="3">
        <v>0</v>
      </c>
      <c r="O104" s="21">
        <v>1800</v>
      </c>
      <c r="P104" s="22">
        <v>600</v>
      </c>
      <c r="Q104" s="21">
        <v>280</v>
      </c>
      <c r="R104" s="21"/>
      <c r="S104" s="21">
        <v>0</v>
      </c>
      <c r="T104" s="23">
        <v>0</v>
      </c>
      <c r="U104" s="23"/>
      <c r="V104" s="23"/>
      <c r="W104" s="23"/>
      <c r="X104" s="23"/>
      <c r="Y104" s="24">
        <v>0</v>
      </c>
      <c r="Z104" s="22">
        <v>0</v>
      </c>
      <c r="AA104" s="22"/>
      <c r="AB104" s="23"/>
      <c r="AC104" s="19">
        <v>250</v>
      </c>
      <c r="AD104" s="26">
        <v>0</v>
      </c>
      <c r="AE104" s="26"/>
      <c r="AF104" s="27"/>
      <c r="AG104" s="27">
        <v>200</v>
      </c>
      <c r="AH104" s="27">
        <v>1500</v>
      </c>
      <c r="AI104" s="28"/>
      <c r="AJ104" s="28"/>
      <c r="AK104" s="19"/>
      <c r="AM104">
        <v>24000</v>
      </c>
      <c r="AN104" s="3">
        <f>SUM(E104:AK104)-AM104+AL104</f>
        <v>-14700</v>
      </c>
    </row>
    <row r="105" ht="15.75" spans="1:40">
      <c r="A105" s="17" t="s">
        <v>258</v>
      </c>
      <c r="B105" s="18" t="s">
        <v>259</v>
      </c>
      <c r="C105" s="18" t="s">
        <v>95</v>
      </c>
      <c r="D105" s="18" t="s">
        <v>215</v>
      </c>
      <c r="E105" s="19"/>
      <c r="F105" s="20">
        <v>0</v>
      </c>
      <c r="G105" s="19">
        <v>0</v>
      </c>
      <c r="H105" s="19">
        <v>0</v>
      </c>
      <c r="I105" s="19"/>
      <c r="J105" s="19"/>
      <c r="K105" s="19">
        <v>0</v>
      </c>
      <c r="L105" s="19"/>
      <c r="M105" s="19"/>
      <c r="N105" s="3">
        <v>0</v>
      </c>
      <c r="O105" s="21">
        <v>1800</v>
      </c>
      <c r="P105" s="22">
        <v>600</v>
      </c>
      <c r="Q105" s="21">
        <v>245</v>
      </c>
      <c r="R105" s="21"/>
      <c r="S105" s="21">
        <v>0</v>
      </c>
      <c r="T105" s="23">
        <v>0</v>
      </c>
      <c r="U105" s="23"/>
      <c r="V105" s="23"/>
      <c r="W105" s="23"/>
      <c r="X105" s="23"/>
      <c r="Y105" s="24">
        <v>0</v>
      </c>
      <c r="Z105" s="22">
        <v>0</v>
      </c>
      <c r="AA105" s="22"/>
      <c r="AB105" s="23"/>
      <c r="AC105" s="19">
        <v>530</v>
      </c>
      <c r="AD105" s="26">
        <v>0</v>
      </c>
      <c r="AE105" s="26"/>
      <c r="AF105" s="27"/>
      <c r="AG105" s="27">
        <v>100</v>
      </c>
      <c r="AH105" s="27">
        <v>1500</v>
      </c>
      <c r="AI105" s="28"/>
      <c r="AJ105" s="28"/>
      <c r="AK105" s="19"/>
      <c r="AM105">
        <v>24000</v>
      </c>
      <c r="AN105" s="3">
        <f>SUM(E105:AK105)-AM105+AL105</f>
        <v>-19225</v>
      </c>
    </row>
    <row r="106" ht="15.75" spans="1:40">
      <c r="A106" s="17" t="s">
        <v>260</v>
      </c>
      <c r="B106" s="18" t="s">
        <v>261</v>
      </c>
      <c r="C106" s="18" t="s">
        <v>95</v>
      </c>
      <c r="D106" s="18" t="s">
        <v>215</v>
      </c>
      <c r="E106" s="19"/>
      <c r="F106" s="20">
        <v>0</v>
      </c>
      <c r="G106" s="19">
        <v>0</v>
      </c>
      <c r="H106" s="19">
        <v>0</v>
      </c>
      <c r="I106" s="19"/>
      <c r="J106" s="19"/>
      <c r="K106" s="19">
        <v>0</v>
      </c>
      <c r="L106" s="19"/>
      <c r="M106" s="19"/>
      <c r="N106" s="3">
        <v>13800</v>
      </c>
      <c r="O106" s="21">
        <v>1200</v>
      </c>
      <c r="P106" s="22">
        <v>2400</v>
      </c>
      <c r="Q106" s="21">
        <v>3325</v>
      </c>
      <c r="R106" s="21"/>
      <c r="S106" s="21">
        <v>860</v>
      </c>
      <c r="T106" s="23">
        <v>0</v>
      </c>
      <c r="U106" s="23"/>
      <c r="V106" s="23"/>
      <c r="W106" s="23">
        <v>2000</v>
      </c>
      <c r="X106" s="23">
        <v>1700</v>
      </c>
      <c r="Y106" s="24">
        <v>720</v>
      </c>
      <c r="Z106" s="22">
        <v>0</v>
      </c>
      <c r="AA106" s="22"/>
      <c r="AB106" s="23"/>
      <c r="AC106" s="19">
        <v>1150</v>
      </c>
      <c r="AD106" s="26">
        <v>4000</v>
      </c>
      <c r="AE106" s="26"/>
      <c r="AF106" s="27"/>
      <c r="AG106" s="27">
        <v>300</v>
      </c>
      <c r="AH106" s="27">
        <v>1500</v>
      </c>
      <c r="AI106" s="28"/>
      <c r="AJ106" s="28"/>
      <c r="AK106" s="19"/>
      <c r="AM106">
        <v>24000</v>
      </c>
      <c r="AN106" s="3">
        <f>SUM(E106:AK106)-AM106+AL106</f>
        <v>8955</v>
      </c>
    </row>
    <row r="107" ht="15.75" spans="1:40">
      <c r="A107" s="17" t="s">
        <v>262</v>
      </c>
      <c r="B107" s="18" t="s">
        <v>263</v>
      </c>
      <c r="C107" s="18" t="s">
        <v>51</v>
      </c>
      <c r="D107" s="18" t="s">
        <v>215</v>
      </c>
      <c r="E107" s="19"/>
      <c r="F107" s="20">
        <v>0</v>
      </c>
      <c r="G107" s="19">
        <v>400</v>
      </c>
      <c r="H107" s="19">
        <v>0</v>
      </c>
      <c r="I107" s="19">
        <v>5600</v>
      </c>
      <c r="J107" s="32"/>
      <c r="K107" s="19">
        <v>0</v>
      </c>
      <c r="L107" s="19"/>
      <c r="M107" s="19">
        <v>1000</v>
      </c>
      <c r="N107" s="3">
        <v>39750</v>
      </c>
      <c r="O107" s="21">
        <v>1800</v>
      </c>
      <c r="P107" s="22">
        <v>600</v>
      </c>
      <c r="Q107" s="21">
        <v>4200</v>
      </c>
      <c r="R107" s="21"/>
      <c r="S107" s="21">
        <v>12160</v>
      </c>
      <c r="T107" s="23">
        <v>0</v>
      </c>
      <c r="U107" s="23"/>
      <c r="V107" s="23"/>
      <c r="W107" s="23"/>
      <c r="X107" s="23"/>
      <c r="Y107" s="24">
        <v>0</v>
      </c>
      <c r="Z107" s="22">
        <v>0</v>
      </c>
      <c r="AA107" s="22"/>
      <c r="AB107" s="23"/>
      <c r="AC107" s="19">
        <v>230</v>
      </c>
      <c r="AD107" s="26">
        <v>0</v>
      </c>
      <c r="AE107" s="26"/>
      <c r="AF107" s="27"/>
      <c r="AG107" s="27">
        <v>200</v>
      </c>
      <c r="AH107" s="27">
        <v>1500</v>
      </c>
      <c r="AI107" s="28"/>
      <c r="AJ107" s="28"/>
      <c r="AK107" s="19"/>
      <c r="AM107">
        <v>24000</v>
      </c>
      <c r="AN107" s="3">
        <f>SUM(E107:AK107)-AM107+AL107</f>
        <v>43440</v>
      </c>
    </row>
    <row r="108" ht="15.75" spans="1:40">
      <c r="A108" s="17" t="s">
        <v>264</v>
      </c>
      <c r="B108" s="18" t="s">
        <v>265</v>
      </c>
      <c r="C108" s="18" t="s">
        <v>57</v>
      </c>
      <c r="D108" s="18" t="s">
        <v>215</v>
      </c>
      <c r="E108" s="19"/>
      <c r="F108" s="20">
        <v>0</v>
      </c>
      <c r="G108" s="19">
        <v>0</v>
      </c>
      <c r="H108" s="19">
        <v>0</v>
      </c>
      <c r="I108" s="19">
        <v>160</v>
      </c>
      <c r="J108" s="19"/>
      <c r="K108" s="19">
        <v>0</v>
      </c>
      <c r="L108" s="19"/>
      <c r="M108" s="19"/>
      <c r="N108" s="3">
        <v>0</v>
      </c>
      <c r="O108" s="21">
        <v>1800</v>
      </c>
      <c r="P108" s="22">
        <v>0</v>
      </c>
      <c r="Q108" s="21">
        <v>70</v>
      </c>
      <c r="R108" s="21"/>
      <c r="S108" s="21">
        <v>0</v>
      </c>
      <c r="T108" s="23">
        <v>0</v>
      </c>
      <c r="U108" s="23"/>
      <c r="V108" s="23"/>
      <c r="W108" s="23"/>
      <c r="X108" s="23"/>
      <c r="Y108" s="24">
        <v>0</v>
      </c>
      <c r="Z108" s="22">
        <v>0</v>
      </c>
      <c r="AA108" s="22"/>
      <c r="AB108" s="23"/>
      <c r="AC108" s="19">
        <v>750</v>
      </c>
      <c r="AD108" s="26">
        <v>0</v>
      </c>
      <c r="AE108" s="26"/>
      <c r="AF108" s="27"/>
      <c r="AG108" s="27">
        <v>100</v>
      </c>
      <c r="AH108" s="27">
        <v>1425</v>
      </c>
      <c r="AI108" s="28"/>
      <c r="AJ108" s="28"/>
      <c r="AK108" s="19"/>
      <c r="AM108">
        <v>24000</v>
      </c>
      <c r="AN108" s="3">
        <f>SUM(E108:AK108)-AM108+AL108</f>
        <v>-19695</v>
      </c>
    </row>
    <row r="109" ht="15.75" spans="1:40">
      <c r="A109" s="17" t="s">
        <v>266</v>
      </c>
      <c r="B109" s="18" t="s">
        <v>267</v>
      </c>
      <c r="C109" s="18" t="s">
        <v>57</v>
      </c>
      <c r="D109" s="18" t="s">
        <v>215</v>
      </c>
      <c r="E109" s="19"/>
      <c r="F109" s="20">
        <v>0</v>
      </c>
      <c r="G109" s="19">
        <v>460</v>
      </c>
      <c r="H109" s="19">
        <v>7400</v>
      </c>
      <c r="I109" s="19">
        <v>1120</v>
      </c>
      <c r="J109" s="19"/>
      <c r="K109" s="19">
        <v>0</v>
      </c>
      <c r="L109" s="19"/>
      <c r="M109" s="19"/>
      <c r="N109" s="3">
        <v>16596</v>
      </c>
      <c r="O109" s="21">
        <v>1200</v>
      </c>
      <c r="P109" s="22">
        <v>0</v>
      </c>
      <c r="Q109" s="21">
        <v>140</v>
      </c>
      <c r="R109" s="21"/>
      <c r="S109" s="21">
        <v>480</v>
      </c>
      <c r="T109" s="23">
        <v>0</v>
      </c>
      <c r="U109" s="23"/>
      <c r="V109" s="23"/>
      <c r="W109" s="23"/>
      <c r="X109" s="23"/>
      <c r="Y109" s="24">
        <v>0</v>
      </c>
      <c r="Z109" s="22">
        <v>0</v>
      </c>
      <c r="AA109" s="22"/>
      <c r="AB109" s="23"/>
      <c r="AC109" s="19">
        <v>580</v>
      </c>
      <c r="AD109" s="26">
        <v>0</v>
      </c>
      <c r="AE109" s="26"/>
      <c r="AF109" s="27"/>
      <c r="AG109" s="27">
        <v>300</v>
      </c>
      <c r="AH109" s="27">
        <v>1500</v>
      </c>
      <c r="AI109" s="28"/>
      <c r="AJ109" s="28"/>
      <c r="AK109" s="19"/>
      <c r="AM109">
        <v>24000</v>
      </c>
      <c r="AN109" s="3">
        <f>SUM(E109:AK109)-AM109+AL109</f>
        <v>5776</v>
      </c>
    </row>
    <row r="110" ht="15.75" spans="1:40">
      <c r="A110" s="17" t="s">
        <v>268</v>
      </c>
      <c r="B110" s="18" t="s">
        <v>269</v>
      </c>
      <c r="C110" s="18" t="s">
        <v>102</v>
      </c>
      <c r="D110" s="18" t="s">
        <v>215</v>
      </c>
      <c r="E110" s="19"/>
      <c r="F110" s="20">
        <v>0</v>
      </c>
      <c r="G110" s="19">
        <v>400</v>
      </c>
      <c r="H110" s="19">
        <v>0</v>
      </c>
      <c r="I110" s="19">
        <v>1200</v>
      </c>
      <c r="J110" s="19"/>
      <c r="K110" s="19">
        <v>0</v>
      </c>
      <c r="L110" s="19"/>
      <c r="M110" s="19"/>
      <c r="N110" s="3">
        <v>21150</v>
      </c>
      <c r="O110" s="21">
        <v>1800</v>
      </c>
      <c r="P110" s="22">
        <v>3600</v>
      </c>
      <c r="Q110" s="21">
        <v>350</v>
      </c>
      <c r="R110" s="21"/>
      <c r="S110" s="21">
        <v>0</v>
      </c>
      <c r="T110" s="23">
        <v>0</v>
      </c>
      <c r="U110" s="23"/>
      <c r="V110" s="23"/>
      <c r="W110" s="23"/>
      <c r="X110" s="23"/>
      <c r="Y110" s="24">
        <v>0</v>
      </c>
      <c r="Z110" s="22">
        <v>0</v>
      </c>
      <c r="AA110" s="22"/>
      <c r="AB110" s="23"/>
      <c r="AC110" s="19">
        <v>550</v>
      </c>
      <c r="AD110" s="26">
        <v>0</v>
      </c>
      <c r="AE110" s="26"/>
      <c r="AF110" s="27"/>
      <c r="AG110" s="27">
        <v>50</v>
      </c>
      <c r="AH110" s="27">
        <v>1500</v>
      </c>
      <c r="AI110" s="28">
        <v>400</v>
      </c>
      <c r="AJ110" s="28"/>
      <c r="AK110" s="19"/>
      <c r="AM110">
        <v>24000</v>
      </c>
      <c r="AN110" s="3">
        <f>SUM(E110:AK110)-AM110+AL110</f>
        <v>7000</v>
      </c>
    </row>
    <row r="111" ht="15.75" spans="1:40">
      <c r="A111" s="17" t="s">
        <v>270</v>
      </c>
      <c r="B111" s="18" t="s">
        <v>271</v>
      </c>
      <c r="C111" s="18" t="s">
        <v>51</v>
      </c>
      <c r="D111" s="18" t="s">
        <v>215</v>
      </c>
      <c r="E111" s="19"/>
      <c r="F111" s="20">
        <v>0</v>
      </c>
      <c r="G111" s="19">
        <v>642</v>
      </c>
      <c r="H111" s="19">
        <v>3600</v>
      </c>
      <c r="I111" s="19"/>
      <c r="J111" s="19"/>
      <c r="K111" s="19">
        <v>0</v>
      </c>
      <c r="L111" s="19"/>
      <c r="M111" s="19">
        <v>1000</v>
      </c>
      <c r="N111" s="3">
        <v>0</v>
      </c>
      <c r="O111" s="21">
        <v>1800</v>
      </c>
      <c r="P111" s="22">
        <v>6000</v>
      </c>
      <c r="Q111" s="21">
        <v>7035</v>
      </c>
      <c r="R111" s="21"/>
      <c r="S111" s="21">
        <v>0</v>
      </c>
      <c r="T111" s="23">
        <v>0</v>
      </c>
      <c r="U111" s="23"/>
      <c r="V111" s="23"/>
      <c r="W111" s="23"/>
      <c r="X111" s="23">
        <v>3600</v>
      </c>
      <c r="Y111" s="24">
        <v>480</v>
      </c>
      <c r="Z111" s="22">
        <v>240</v>
      </c>
      <c r="AA111" s="22">
        <v>138</v>
      </c>
      <c r="AB111" s="23"/>
      <c r="AC111" s="19">
        <v>1200</v>
      </c>
      <c r="AD111" s="26">
        <v>4800</v>
      </c>
      <c r="AE111" s="26"/>
      <c r="AF111" s="27"/>
      <c r="AG111" s="27">
        <v>100</v>
      </c>
      <c r="AH111" s="27">
        <v>1500</v>
      </c>
      <c r="AI111" s="28">
        <v>800</v>
      </c>
      <c r="AJ111" s="28"/>
      <c r="AK111" s="19"/>
      <c r="AM111">
        <v>24000</v>
      </c>
      <c r="AN111" s="3">
        <f>SUM(E111:AK111)-AM111+AL111</f>
        <v>8935</v>
      </c>
    </row>
    <row r="112" ht="15.75" spans="1:40">
      <c r="A112" s="17" t="s">
        <v>272</v>
      </c>
      <c r="B112" s="18" t="s">
        <v>273</v>
      </c>
      <c r="C112" s="18" t="s">
        <v>57</v>
      </c>
      <c r="D112" s="18" t="s">
        <v>215</v>
      </c>
      <c r="E112" s="19"/>
      <c r="F112" s="20">
        <v>0</v>
      </c>
      <c r="G112" s="19">
        <v>220</v>
      </c>
      <c r="H112" s="19">
        <v>0</v>
      </c>
      <c r="I112" s="19"/>
      <c r="J112" s="19"/>
      <c r="K112" s="19">
        <v>0</v>
      </c>
      <c r="L112" s="19"/>
      <c r="M112" s="19"/>
      <c r="N112" s="3">
        <v>23640</v>
      </c>
      <c r="O112" s="21">
        <v>600</v>
      </c>
      <c r="P112" s="22">
        <v>0</v>
      </c>
      <c r="Q112" s="21">
        <v>0</v>
      </c>
      <c r="R112" s="21"/>
      <c r="S112" s="21">
        <v>480</v>
      </c>
      <c r="T112" s="23">
        <v>0</v>
      </c>
      <c r="U112" s="23"/>
      <c r="V112" s="23"/>
      <c r="W112" s="23"/>
      <c r="X112" s="23"/>
      <c r="Y112" s="24">
        <v>0</v>
      </c>
      <c r="Z112" s="22">
        <v>0</v>
      </c>
      <c r="AA112" s="22"/>
      <c r="AB112" s="23"/>
      <c r="AC112" s="19">
        <v>250</v>
      </c>
      <c r="AD112" s="26">
        <v>0</v>
      </c>
      <c r="AE112" s="26"/>
      <c r="AF112" s="27"/>
      <c r="AG112" s="27">
        <v>200</v>
      </c>
      <c r="AH112" s="27">
        <v>1425</v>
      </c>
      <c r="AI112" s="28"/>
      <c r="AJ112" s="28"/>
      <c r="AK112" s="19"/>
      <c r="AM112">
        <v>24000</v>
      </c>
      <c r="AN112" s="3">
        <f>SUM(E112:AK112)-AM112+AL112</f>
        <v>2815</v>
      </c>
    </row>
    <row r="113" ht="15.75" spans="1:40">
      <c r="A113" s="17" t="s">
        <v>274</v>
      </c>
      <c r="B113" s="18" t="s">
        <v>275</v>
      </c>
      <c r="C113" s="18" t="s">
        <v>57</v>
      </c>
      <c r="D113" s="18" t="s">
        <v>215</v>
      </c>
      <c r="E113" s="19"/>
      <c r="F113" s="20">
        <v>0</v>
      </c>
      <c r="G113" s="19">
        <v>0</v>
      </c>
      <c r="H113" s="19">
        <v>200</v>
      </c>
      <c r="I113" s="19"/>
      <c r="J113" s="19"/>
      <c r="K113" s="19">
        <v>0</v>
      </c>
      <c r="L113" s="19"/>
      <c r="M113" s="19"/>
      <c r="N113" s="3">
        <v>37059.6</v>
      </c>
      <c r="O113" s="21">
        <v>1800</v>
      </c>
      <c r="P113" s="22">
        <v>2400</v>
      </c>
      <c r="Q113" s="21">
        <v>2030</v>
      </c>
      <c r="R113" s="21"/>
      <c r="S113" s="21">
        <v>0</v>
      </c>
      <c r="T113" s="23">
        <v>0</v>
      </c>
      <c r="U113" s="23"/>
      <c r="V113" s="23"/>
      <c r="W113" s="23"/>
      <c r="X113" s="23"/>
      <c r="Y113" s="24">
        <v>80</v>
      </c>
      <c r="Z113" s="22">
        <v>0</v>
      </c>
      <c r="AA113" s="22"/>
      <c r="AB113" s="23"/>
      <c r="AC113" s="19">
        <v>850</v>
      </c>
      <c r="AD113" s="26">
        <v>0</v>
      </c>
      <c r="AE113" s="26"/>
      <c r="AF113" s="27"/>
      <c r="AG113" s="27">
        <v>200</v>
      </c>
      <c r="AH113" s="27">
        <v>1500</v>
      </c>
      <c r="AI113" s="28"/>
      <c r="AJ113" s="28"/>
      <c r="AK113" s="19"/>
      <c r="AM113">
        <v>24000</v>
      </c>
      <c r="AN113" s="3">
        <f>SUM(E113:AK113)-AM113+AL113</f>
        <v>22119.6</v>
      </c>
    </row>
    <row r="114" ht="15.75" spans="1:40">
      <c r="A114" s="17" t="s">
        <v>276</v>
      </c>
      <c r="B114" s="18" t="s">
        <v>277</v>
      </c>
      <c r="C114" s="18" t="s">
        <v>68</v>
      </c>
      <c r="D114" s="18" t="s">
        <v>215</v>
      </c>
      <c r="E114" s="19">
        <v>1000</v>
      </c>
      <c r="F114" s="20">
        <v>0</v>
      </c>
      <c r="G114" s="19">
        <v>0</v>
      </c>
      <c r="H114" s="19">
        <v>0</v>
      </c>
      <c r="I114" s="19">
        <v>1700</v>
      </c>
      <c r="J114" s="18"/>
      <c r="K114" s="19">
        <v>0</v>
      </c>
      <c r="L114" s="19"/>
      <c r="M114" s="19"/>
      <c r="N114" s="3">
        <v>0</v>
      </c>
      <c r="O114" s="21">
        <v>0</v>
      </c>
      <c r="P114" s="22">
        <v>0</v>
      </c>
      <c r="Q114" s="21">
        <v>0</v>
      </c>
      <c r="R114" s="21"/>
      <c r="S114" s="21">
        <v>0</v>
      </c>
      <c r="T114" s="23">
        <v>0</v>
      </c>
      <c r="U114" s="23"/>
      <c r="V114" s="23"/>
      <c r="W114" s="23"/>
      <c r="X114" s="23"/>
      <c r="Y114" s="24">
        <v>0</v>
      </c>
      <c r="Z114" s="22">
        <v>0</v>
      </c>
      <c r="AA114" s="22"/>
      <c r="AB114" s="23"/>
      <c r="AC114" s="19"/>
      <c r="AD114" s="26">
        <v>2000</v>
      </c>
      <c r="AE114" s="26"/>
      <c r="AF114" s="27"/>
      <c r="AG114" s="27">
        <v>300</v>
      </c>
      <c r="AH114" s="27">
        <v>1500</v>
      </c>
      <c r="AI114" s="28"/>
      <c r="AJ114" s="28"/>
      <c r="AK114" s="19"/>
      <c r="AM114">
        <v>14400</v>
      </c>
      <c r="AN114" s="3">
        <f>SUM(E114:AK114)-AM114+AL114</f>
        <v>-7900</v>
      </c>
    </row>
    <row r="115" ht="15.75" spans="1:40">
      <c r="A115" s="17" t="s">
        <v>278</v>
      </c>
      <c r="B115" s="18" t="s">
        <v>279</v>
      </c>
      <c r="C115" s="18" t="s">
        <v>51</v>
      </c>
      <c r="D115" s="18" t="s">
        <v>215</v>
      </c>
      <c r="E115" s="19"/>
      <c r="F115" s="20">
        <v>0</v>
      </c>
      <c r="G115" s="19">
        <v>620</v>
      </c>
      <c r="H115" s="19">
        <v>2400</v>
      </c>
      <c r="I115" s="19">
        <v>320</v>
      </c>
      <c r="J115" s="19"/>
      <c r="K115" s="19">
        <v>0</v>
      </c>
      <c r="L115" s="19"/>
      <c r="M115" s="19"/>
      <c r="N115" s="3">
        <v>0</v>
      </c>
      <c r="O115" s="21">
        <v>600</v>
      </c>
      <c r="P115" s="22">
        <v>600</v>
      </c>
      <c r="Q115" s="21">
        <v>0</v>
      </c>
      <c r="R115" s="21"/>
      <c r="S115" s="21">
        <v>0</v>
      </c>
      <c r="T115" s="23">
        <v>0</v>
      </c>
      <c r="U115" s="23"/>
      <c r="V115" s="23"/>
      <c r="W115" s="23"/>
      <c r="X115" s="23"/>
      <c r="Y115" s="24">
        <v>0</v>
      </c>
      <c r="Z115" s="22">
        <v>0</v>
      </c>
      <c r="AA115" s="22"/>
      <c r="AB115" s="23"/>
      <c r="AC115" s="19">
        <v>430</v>
      </c>
      <c r="AD115" s="40"/>
      <c r="AE115" s="26"/>
      <c r="AF115" s="27"/>
      <c r="AG115" s="27">
        <v>200</v>
      </c>
      <c r="AH115" s="27">
        <v>1500</v>
      </c>
      <c r="AI115" s="28">
        <v>400</v>
      </c>
      <c r="AJ115" s="28"/>
      <c r="AK115" s="19"/>
      <c r="AM115">
        <v>24000</v>
      </c>
      <c r="AN115" s="3">
        <f>SUM(E115:AK115)-AM115+AL115</f>
        <v>-16930</v>
      </c>
    </row>
    <row r="116" ht="15.75" spans="1:40">
      <c r="A116" s="17" t="s">
        <v>280</v>
      </c>
      <c r="B116" s="18" t="s">
        <v>281</v>
      </c>
      <c r="C116" s="18" t="s">
        <v>95</v>
      </c>
      <c r="D116" s="18" t="s">
        <v>215</v>
      </c>
      <c r="E116" s="19"/>
      <c r="F116" s="20">
        <v>0</v>
      </c>
      <c r="G116" s="19">
        <v>100</v>
      </c>
      <c r="H116" s="19">
        <v>1200</v>
      </c>
      <c r="I116" s="19"/>
      <c r="J116" s="19"/>
      <c r="K116" s="19">
        <v>0</v>
      </c>
      <c r="L116" s="19"/>
      <c r="M116" s="19"/>
      <c r="N116" s="3">
        <v>0</v>
      </c>
      <c r="O116" s="21">
        <v>1200</v>
      </c>
      <c r="P116" s="22">
        <v>0</v>
      </c>
      <c r="Q116" s="21">
        <v>315</v>
      </c>
      <c r="R116" s="21"/>
      <c r="S116" s="21">
        <v>480</v>
      </c>
      <c r="T116" s="23">
        <v>6489.28</v>
      </c>
      <c r="U116" s="23"/>
      <c r="V116" s="23"/>
      <c r="W116" s="23"/>
      <c r="X116" s="23"/>
      <c r="Y116" s="24">
        <v>0</v>
      </c>
      <c r="Z116" s="22">
        <v>0</v>
      </c>
      <c r="AA116" s="22"/>
      <c r="AB116" s="23"/>
      <c r="AC116" s="19">
        <v>710</v>
      </c>
      <c r="AD116" s="26">
        <v>0</v>
      </c>
      <c r="AE116" s="26"/>
      <c r="AF116" s="27"/>
      <c r="AG116" s="27">
        <v>250</v>
      </c>
      <c r="AH116" s="27">
        <v>1500</v>
      </c>
      <c r="AI116" s="28"/>
      <c r="AJ116" s="28"/>
      <c r="AK116" s="19"/>
      <c r="AM116">
        <v>24000</v>
      </c>
      <c r="AN116" s="3">
        <f>SUM(E116:AK116)-AM116+AL116+30000</f>
        <v>18244.28</v>
      </c>
    </row>
    <row r="117" ht="15.75" spans="1:40">
      <c r="A117" s="17" t="s">
        <v>282</v>
      </c>
      <c r="B117" s="18" t="s">
        <v>283</v>
      </c>
      <c r="C117" s="18" t="s">
        <v>57</v>
      </c>
      <c r="D117" s="18" t="s">
        <v>215</v>
      </c>
      <c r="E117" s="19"/>
      <c r="F117" s="20">
        <v>0</v>
      </c>
      <c r="G117" s="19">
        <v>655</v>
      </c>
      <c r="H117" s="19">
        <v>4800</v>
      </c>
      <c r="I117" s="19">
        <v>10800</v>
      </c>
      <c r="J117" s="32"/>
      <c r="K117" s="19">
        <v>0</v>
      </c>
      <c r="L117" s="19"/>
      <c r="M117" s="19"/>
      <c r="N117" s="3">
        <v>48210</v>
      </c>
      <c r="O117" s="21">
        <v>1800</v>
      </c>
      <c r="P117" s="22">
        <v>2400</v>
      </c>
      <c r="Q117" s="21">
        <v>2205</v>
      </c>
      <c r="R117" s="21"/>
      <c r="S117" s="21">
        <v>0</v>
      </c>
      <c r="T117" s="23">
        <v>0</v>
      </c>
      <c r="U117" s="23"/>
      <c r="V117" s="23"/>
      <c r="W117" s="23"/>
      <c r="X117" s="23">
        <v>1700</v>
      </c>
      <c r="Y117" s="24">
        <v>0</v>
      </c>
      <c r="Z117" s="22">
        <v>0</v>
      </c>
      <c r="AA117" s="22"/>
      <c r="AB117" s="23"/>
      <c r="AC117" s="19">
        <v>660</v>
      </c>
      <c r="AD117" s="26">
        <v>3600</v>
      </c>
      <c r="AE117" s="26"/>
      <c r="AF117" s="27"/>
      <c r="AG117" s="27">
        <v>200</v>
      </c>
      <c r="AH117" s="27">
        <v>1500</v>
      </c>
      <c r="AI117" s="28">
        <v>600</v>
      </c>
      <c r="AJ117" s="28"/>
      <c r="AK117" s="19"/>
      <c r="AM117">
        <v>24000</v>
      </c>
      <c r="AN117" s="3">
        <f>SUM(E117:AK117)-AM117+AL117+4000</f>
        <v>59130</v>
      </c>
    </row>
    <row r="118" ht="15.75" spans="1:40">
      <c r="A118" s="17" t="s">
        <v>284</v>
      </c>
      <c r="B118" s="18" t="s">
        <v>285</v>
      </c>
      <c r="C118" s="18" t="s">
        <v>42</v>
      </c>
      <c r="D118" s="18" t="s">
        <v>215</v>
      </c>
      <c r="E118" s="19"/>
      <c r="F118" s="20">
        <v>0</v>
      </c>
      <c r="G118" s="19">
        <v>0</v>
      </c>
      <c r="H118" s="19">
        <v>0</v>
      </c>
      <c r="I118" s="19"/>
      <c r="J118" s="19"/>
      <c r="K118" s="19">
        <v>0</v>
      </c>
      <c r="L118" s="19"/>
      <c r="M118" s="19"/>
      <c r="N118" s="3">
        <v>0</v>
      </c>
      <c r="O118" s="21">
        <v>600</v>
      </c>
      <c r="P118" s="22">
        <v>0</v>
      </c>
      <c r="Q118" s="21">
        <v>1750</v>
      </c>
      <c r="R118" s="21"/>
      <c r="S118" s="21">
        <v>0</v>
      </c>
      <c r="T118" s="23">
        <v>0</v>
      </c>
      <c r="U118" s="23"/>
      <c r="V118" s="23"/>
      <c r="W118" s="23"/>
      <c r="X118" s="23"/>
      <c r="Y118" s="24">
        <v>0</v>
      </c>
      <c r="Z118" s="22">
        <v>0</v>
      </c>
      <c r="AA118" s="22"/>
      <c r="AB118" s="23"/>
      <c r="AC118" s="19">
        <v>400</v>
      </c>
      <c r="AD118" s="26">
        <v>0</v>
      </c>
      <c r="AE118" s="26"/>
      <c r="AF118" s="27"/>
      <c r="AG118" s="27">
        <v>550</v>
      </c>
      <c r="AH118" s="27">
        <v>1500</v>
      </c>
      <c r="AI118" s="28"/>
      <c r="AJ118" s="28"/>
      <c r="AK118" s="19"/>
      <c r="AM118">
        <v>14400</v>
      </c>
      <c r="AN118" s="3">
        <f>SUM(E118:AK118)-AM118+AL118</f>
        <v>-9600</v>
      </c>
    </row>
    <row r="119" ht="15.75" spans="1:40">
      <c r="A119" s="17" t="s">
        <v>286</v>
      </c>
      <c r="B119" s="18" t="s">
        <v>287</v>
      </c>
      <c r="C119" s="18" t="s">
        <v>61</v>
      </c>
      <c r="D119" s="18" t="s">
        <v>215</v>
      </c>
      <c r="E119" s="19"/>
      <c r="F119" s="20">
        <v>0</v>
      </c>
      <c r="G119" s="19">
        <v>0</v>
      </c>
      <c r="H119" s="19">
        <v>0</v>
      </c>
      <c r="I119" s="19"/>
      <c r="J119" s="19"/>
      <c r="K119" s="19">
        <v>0</v>
      </c>
      <c r="L119" s="19">
        <v>500</v>
      </c>
      <c r="M119" s="19"/>
      <c r="N119" s="3">
        <v>0</v>
      </c>
      <c r="O119" s="21">
        <v>0</v>
      </c>
      <c r="P119" s="22">
        <v>0</v>
      </c>
      <c r="Q119" s="21">
        <v>140</v>
      </c>
      <c r="R119" s="21"/>
      <c r="S119" s="21">
        <v>0</v>
      </c>
      <c r="T119" s="23">
        <v>0</v>
      </c>
      <c r="U119" s="23"/>
      <c r="V119" s="23"/>
      <c r="W119" s="23"/>
      <c r="X119" s="23"/>
      <c r="Y119" s="24">
        <v>0</v>
      </c>
      <c r="Z119" s="22">
        <v>160</v>
      </c>
      <c r="AA119" s="22"/>
      <c r="AB119" s="23"/>
      <c r="AC119" s="19">
        <v>150</v>
      </c>
      <c r="AD119" s="26">
        <v>1200</v>
      </c>
      <c r="AE119" s="26"/>
      <c r="AF119" s="27"/>
      <c r="AG119" s="27">
        <v>200</v>
      </c>
      <c r="AH119" s="27">
        <v>1500</v>
      </c>
      <c r="AI119" s="28"/>
      <c r="AJ119" s="28"/>
      <c r="AK119" s="19"/>
      <c r="AM119">
        <v>14400</v>
      </c>
      <c r="AN119" s="3">
        <f>SUM(E119:AK119)-AM119+AL119</f>
        <v>-10550</v>
      </c>
    </row>
    <row r="120" ht="15.75" spans="1:40">
      <c r="A120" s="17" t="s">
        <v>288</v>
      </c>
      <c r="B120" s="18" t="s">
        <v>289</v>
      </c>
      <c r="C120" s="18" t="s">
        <v>61</v>
      </c>
      <c r="D120" s="18" t="s">
        <v>215</v>
      </c>
      <c r="E120" s="19"/>
      <c r="F120" s="20">
        <v>0</v>
      </c>
      <c r="G120" s="19">
        <v>0</v>
      </c>
      <c r="H120" s="19">
        <v>0</v>
      </c>
      <c r="I120" s="19"/>
      <c r="J120" s="19"/>
      <c r="K120" s="19">
        <v>0</v>
      </c>
      <c r="L120" s="19">
        <v>2000</v>
      </c>
      <c r="M120" s="19"/>
      <c r="N120" s="3">
        <v>0</v>
      </c>
      <c r="O120" s="21">
        <v>0</v>
      </c>
      <c r="P120" s="22">
        <v>0</v>
      </c>
      <c r="Q120" s="21">
        <v>0</v>
      </c>
      <c r="R120" s="21"/>
      <c r="S120" s="21">
        <v>0</v>
      </c>
      <c r="T120" s="23">
        <v>0</v>
      </c>
      <c r="U120" s="23"/>
      <c r="V120" s="23"/>
      <c r="W120" s="23"/>
      <c r="X120" s="23"/>
      <c r="Y120" s="24">
        <v>0</v>
      </c>
      <c r="Z120" s="22">
        <v>0</v>
      </c>
      <c r="AA120" s="22"/>
      <c r="AB120" s="23"/>
      <c r="AC120" s="19">
        <v>300</v>
      </c>
      <c r="AD120" s="26">
        <v>3000</v>
      </c>
      <c r="AE120" s="26"/>
      <c r="AF120" s="27"/>
      <c r="AG120" s="27">
        <v>200</v>
      </c>
      <c r="AH120" s="27">
        <v>1500</v>
      </c>
      <c r="AI120" s="28"/>
      <c r="AJ120" s="28"/>
      <c r="AK120" s="19"/>
      <c r="AM120">
        <v>24000</v>
      </c>
      <c r="AN120" s="3">
        <f>SUM(E120:AK120)-AM120+AL120</f>
        <v>-17000</v>
      </c>
    </row>
    <row r="121" ht="15.75" spans="1:40">
      <c r="A121" s="17" t="s">
        <v>290</v>
      </c>
      <c r="B121" s="18" t="s">
        <v>291</v>
      </c>
      <c r="C121" s="18" t="s">
        <v>57</v>
      </c>
      <c r="D121" s="18" t="s">
        <v>215</v>
      </c>
      <c r="E121" s="19"/>
      <c r="F121" s="20">
        <v>0</v>
      </c>
      <c r="G121" s="19">
        <v>100</v>
      </c>
      <c r="H121" s="19">
        <v>1200</v>
      </c>
      <c r="I121" s="19">
        <v>480</v>
      </c>
      <c r="J121" s="19"/>
      <c r="K121" s="19">
        <v>0</v>
      </c>
      <c r="L121" s="19"/>
      <c r="M121" s="19"/>
      <c r="N121" s="3">
        <v>9270</v>
      </c>
      <c r="O121" s="21">
        <v>600</v>
      </c>
      <c r="P121" s="22">
        <v>2400</v>
      </c>
      <c r="Q121" s="21">
        <v>2170</v>
      </c>
      <c r="R121" s="21"/>
      <c r="S121" s="21">
        <v>0</v>
      </c>
      <c r="T121" s="23">
        <v>0</v>
      </c>
      <c r="U121" s="23"/>
      <c r="V121" s="23"/>
      <c r="W121" s="23"/>
      <c r="X121" s="23"/>
      <c r="Y121" s="24">
        <v>400</v>
      </c>
      <c r="Z121" s="22">
        <v>0</v>
      </c>
      <c r="AA121" s="22"/>
      <c r="AB121" s="23"/>
      <c r="AC121" s="19">
        <v>400</v>
      </c>
      <c r="AD121" s="26">
        <v>0</v>
      </c>
      <c r="AE121" s="26"/>
      <c r="AF121" s="27"/>
      <c r="AG121" s="27">
        <v>100</v>
      </c>
      <c r="AH121" s="27">
        <v>1350</v>
      </c>
      <c r="AI121" s="28"/>
      <c r="AJ121" s="28">
        <v>960</v>
      </c>
      <c r="AK121" s="19"/>
      <c r="AM121">
        <v>24000</v>
      </c>
      <c r="AN121" s="3">
        <f>SUM(E121:AK121)-AM121+AL121</f>
        <v>-4570</v>
      </c>
    </row>
    <row r="122" ht="15.75" spans="1:40">
      <c r="A122" s="17" t="s">
        <v>292</v>
      </c>
      <c r="B122" s="18" t="s">
        <v>293</v>
      </c>
      <c r="C122" s="18" t="s">
        <v>102</v>
      </c>
      <c r="D122" s="18" t="s">
        <v>215</v>
      </c>
      <c r="E122" s="19"/>
      <c r="F122" s="20">
        <v>0</v>
      </c>
      <c r="G122" s="19">
        <v>7035</v>
      </c>
      <c r="H122" s="19">
        <v>2400</v>
      </c>
      <c r="I122" s="19">
        <v>4040</v>
      </c>
      <c r="J122" s="19"/>
      <c r="K122" s="19">
        <v>0</v>
      </c>
      <c r="L122" s="19"/>
      <c r="M122" s="19">
        <v>1000</v>
      </c>
      <c r="N122" s="3">
        <v>0</v>
      </c>
      <c r="O122" s="21">
        <v>1800</v>
      </c>
      <c r="P122" s="22">
        <v>1200</v>
      </c>
      <c r="Q122" s="21">
        <v>350</v>
      </c>
      <c r="R122" s="21"/>
      <c r="S122" s="21">
        <v>0</v>
      </c>
      <c r="T122" s="23">
        <v>1660.8</v>
      </c>
      <c r="U122" s="23"/>
      <c r="V122" s="23"/>
      <c r="W122" s="23"/>
      <c r="X122" s="23"/>
      <c r="Y122" s="24">
        <v>400</v>
      </c>
      <c r="Z122" s="22">
        <v>0</v>
      </c>
      <c r="AA122" s="22"/>
      <c r="AB122" s="23"/>
      <c r="AC122" s="19">
        <v>830</v>
      </c>
      <c r="AD122" s="26">
        <v>0</v>
      </c>
      <c r="AE122" s="26"/>
      <c r="AF122" s="27"/>
      <c r="AG122" s="27">
        <v>400</v>
      </c>
      <c r="AH122" s="27">
        <v>1500</v>
      </c>
      <c r="AI122" s="28"/>
      <c r="AJ122" s="28"/>
      <c r="AK122" s="19"/>
      <c r="AM122">
        <v>24000</v>
      </c>
      <c r="AN122" s="3">
        <f>SUM(E122:AK122)-AM122+AL122</f>
        <v>-1384.2</v>
      </c>
    </row>
    <row r="123" ht="15.75" spans="1:40">
      <c r="A123" s="17" t="s">
        <v>294</v>
      </c>
      <c r="B123" s="18" t="s">
        <v>295</v>
      </c>
      <c r="C123" s="18" t="s">
        <v>51</v>
      </c>
      <c r="D123" s="18" t="s">
        <v>215</v>
      </c>
      <c r="E123" s="19"/>
      <c r="F123" s="20">
        <v>0</v>
      </c>
      <c r="G123" s="19">
        <v>400</v>
      </c>
      <c r="H123" s="19">
        <v>2400</v>
      </c>
      <c r="I123" s="19"/>
      <c r="J123" s="19"/>
      <c r="K123" s="19">
        <v>0</v>
      </c>
      <c r="L123" s="19"/>
      <c r="M123" s="19"/>
      <c r="N123" s="3">
        <v>0</v>
      </c>
      <c r="O123" s="21">
        <v>1800</v>
      </c>
      <c r="P123" s="22">
        <v>600</v>
      </c>
      <c r="Q123" s="21">
        <v>350</v>
      </c>
      <c r="R123" s="21"/>
      <c r="S123" s="21">
        <v>0</v>
      </c>
      <c r="T123" s="23">
        <v>0</v>
      </c>
      <c r="U123" s="23"/>
      <c r="V123" s="23"/>
      <c r="W123" s="23"/>
      <c r="X123" s="23"/>
      <c r="Y123" s="24">
        <v>0</v>
      </c>
      <c r="Z123" s="22">
        <v>0</v>
      </c>
      <c r="AA123" s="22"/>
      <c r="AB123" s="23"/>
      <c r="AC123" s="19">
        <v>330</v>
      </c>
      <c r="AD123" s="26">
        <v>0</v>
      </c>
      <c r="AE123" s="26"/>
      <c r="AF123" s="27"/>
      <c r="AG123" s="27">
        <v>300</v>
      </c>
      <c r="AH123" s="27">
        <v>1500</v>
      </c>
      <c r="AI123" s="28"/>
      <c r="AJ123" s="28"/>
      <c r="AK123" s="19"/>
      <c r="AM123">
        <v>24000</v>
      </c>
      <c r="AN123" s="3">
        <f>SUM(E123:AK123)-AM123+AL123</f>
        <v>-16320</v>
      </c>
    </row>
    <row r="124" ht="15.75" spans="1:40">
      <c r="A124" s="17" t="s">
        <v>296</v>
      </c>
      <c r="B124" s="18" t="s">
        <v>297</v>
      </c>
      <c r="C124" s="18" t="s">
        <v>57</v>
      </c>
      <c r="D124" s="18" t="s">
        <v>215</v>
      </c>
      <c r="E124" s="19"/>
      <c r="F124" s="20">
        <v>0</v>
      </c>
      <c r="G124" s="19">
        <v>0</v>
      </c>
      <c r="H124" s="19">
        <v>200</v>
      </c>
      <c r="I124" s="19"/>
      <c r="J124" s="19"/>
      <c r="K124" s="19">
        <v>0</v>
      </c>
      <c r="L124" s="19"/>
      <c r="M124" s="19"/>
      <c r="N124" s="3">
        <v>0</v>
      </c>
      <c r="O124" s="21">
        <v>1800</v>
      </c>
      <c r="P124" s="22">
        <v>0</v>
      </c>
      <c r="Q124" s="21">
        <v>350</v>
      </c>
      <c r="R124" s="21"/>
      <c r="S124" s="21">
        <v>0</v>
      </c>
      <c r="T124" s="23">
        <v>0</v>
      </c>
      <c r="U124" s="23"/>
      <c r="V124" s="23"/>
      <c r="W124" s="23"/>
      <c r="X124" s="23"/>
      <c r="Y124" s="24">
        <v>800</v>
      </c>
      <c r="Z124" s="22">
        <v>0</v>
      </c>
      <c r="AA124" s="22"/>
      <c r="AB124" s="23"/>
      <c r="AC124" s="19">
        <v>350</v>
      </c>
      <c r="AD124" s="26">
        <v>0</v>
      </c>
      <c r="AE124" s="26"/>
      <c r="AF124" s="27"/>
      <c r="AG124" s="27">
        <v>300</v>
      </c>
      <c r="AH124" s="27">
        <v>1500</v>
      </c>
      <c r="AI124" s="28">
        <v>600</v>
      </c>
      <c r="AJ124" s="28"/>
      <c r="AK124" s="19"/>
      <c r="AM124">
        <v>24000</v>
      </c>
      <c r="AN124" s="3">
        <f>SUM(E124:AK124)-AM124+AL124</f>
        <v>-18100</v>
      </c>
    </row>
    <row r="125" ht="15.75" spans="1:40">
      <c r="A125" s="17" t="s">
        <v>298</v>
      </c>
      <c r="B125" s="18" t="s">
        <v>299</v>
      </c>
      <c r="C125" s="18" t="s">
        <v>51</v>
      </c>
      <c r="D125" s="18" t="s">
        <v>215</v>
      </c>
      <c r="E125" s="19"/>
      <c r="F125" s="20">
        <v>0</v>
      </c>
      <c r="G125" s="19">
        <v>0</v>
      </c>
      <c r="H125" s="19">
        <v>0</v>
      </c>
      <c r="I125" s="19"/>
      <c r="J125" s="19"/>
      <c r="K125" s="19">
        <v>0</v>
      </c>
      <c r="L125" s="19"/>
      <c r="M125" s="19">
        <v>1000</v>
      </c>
      <c r="N125" s="3">
        <v>9150</v>
      </c>
      <c r="O125" s="21">
        <v>1800</v>
      </c>
      <c r="P125" s="22">
        <v>600</v>
      </c>
      <c r="Q125" s="21">
        <v>0</v>
      </c>
      <c r="R125" s="21"/>
      <c r="S125" s="21">
        <v>0</v>
      </c>
      <c r="T125" s="23">
        <v>0</v>
      </c>
      <c r="U125" s="23"/>
      <c r="V125" s="23"/>
      <c r="W125" s="23"/>
      <c r="X125" s="23"/>
      <c r="Y125" s="24">
        <v>0</v>
      </c>
      <c r="Z125" s="22">
        <v>0</v>
      </c>
      <c r="AA125" s="22"/>
      <c r="AB125" s="23"/>
      <c r="AC125" s="19">
        <v>600</v>
      </c>
      <c r="AD125" s="26">
        <v>0</v>
      </c>
      <c r="AE125" s="26"/>
      <c r="AF125" s="27"/>
      <c r="AG125" s="27">
        <v>400</v>
      </c>
      <c r="AH125" s="27">
        <v>1500</v>
      </c>
      <c r="AI125" s="28"/>
      <c r="AJ125" s="28">
        <v>960</v>
      </c>
      <c r="AK125" s="19"/>
      <c r="AL125" s="5"/>
      <c r="AM125">
        <v>24000</v>
      </c>
      <c r="AN125" s="3">
        <f>SUM(E125:AK125)-AM125+AL125</f>
        <v>-7990</v>
      </c>
    </row>
    <row r="126" ht="15.75" spans="1:40">
      <c r="A126" s="17" t="s">
        <v>300</v>
      </c>
      <c r="B126" s="18" t="s">
        <v>301</v>
      </c>
      <c r="C126" s="18" t="s">
        <v>54</v>
      </c>
      <c r="D126" s="18" t="s">
        <v>215</v>
      </c>
      <c r="E126" s="19"/>
      <c r="F126" s="20">
        <v>0</v>
      </c>
      <c r="G126" s="19">
        <v>2910</v>
      </c>
      <c r="H126" s="19">
        <v>9600</v>
      </c>
      <c r="I126" s="19">
        <v>1600</v>
      </c>
      <c r="J126" s="19"/>
      <c r="K126" s="19">
        <v>0</v>
      </c>
      <c r="L126" s="19"/>
      <c r="M126" s="19"/>
      <c r="N126" s="3">
        <v>6960</v>
      </c>
      <c r="O126" s="21">
        <v>1800</v>
      </c>
      <c r="P126" s="22">
        <v>600</v>
      </c>
      <c r="Q126" s="21">
        <v>210</v>
      </c>
      <c r="R126" s="21"/>
      <c r="S126" s="21">
        <v>0</v>
      </c>
      <c r="T126" s="23">
        <v>0</v>
      </c>
      <c r="U126" s="23"/>
      <c r="V126" s="23"/>
      <c r="W126" s="23"/>
      <c r="X126" s="23"/>
      <c r="Y126" s="24">
        <v>400</v>
      </c>
      <c r="Z126" s="22">
        <v>0</v>
      </c>
      <c r="AA126" s="22"/>
      <c r="AB126" s="23"/>
      <c r="AC126" s="19">
        <v>530</v>
      </c>
      <c r="AD126" s="26">
        <v>0</v>
      </c>
      <c r="AE126" s="26"/>
      <c r="AF126" s="27"/>
      <c r="AG126" s="27">
        <v>200</v>
      </c>
      <c r="AH126" s="27">
        <v>1500</v>
      </c>
      <c r="AI126" s="28">
        <v>800</v>
      </c>
      <c r="AJ126" s="28">
        <v>960</v>
      </c>
      <c r="AK126" s="19"/>
      <c r="AM126">
        <v>24000</v>
      </c>
      <c r="AN126" s="3">
        <f>SUM(E126:AK126)-AM126+AL126+1500</f>
        <v>5570</v>
      </c>
    </row>
    <row r="127" ht="15.75" spans="1:40">
      <c r="A127" s="17" t="s">
        <v>302</v>
      </c>
      <c r="B127" s="18" t="s">
        <v>303</v>
      </c>
      <c r="C127" s="18" t="s">
        <v>42</v>
      </c>
      <c r="D127" s="18" t="s">
        <v>215</v>
      </c>
      <c r="E127" s="19"/>
      <c r="F127" s="20">
        <v>0</v>
      </c>
      <c r="G127" s="19">
        <v>300</v>
      </c>
      <c r="H127" s="19">
        <v>0</v>
      </c>
      <c r="I127" s="19"/>
      <c r="J127" s="19"/>
      <c r="K127" s="19">
        <v>500</v>
      </c>
      <c r="L127" s="19"/>
      <c r="M127" s="19">
        <v>1000</v>
      </c>
      <c r="N127" s="3">
        <v>0</v>
      </c>
      <c r="O127" s="21">
        <v>600</v>
      </c>
      <c r="P127" s="22">
        <v>0</v>
      </c>
      <c r="Q127" s="21">
        <v>0</v>
      </c>
      <c r="R127" s="21"/>
      <c r="S127" s="21">
        <v>0</v>
      </c>
      <c r="T127" s="23">
        <v>0</v>
      </c>
      <c r="U127" s="23"/>
      <c r="V127" s="23"/>
      <c r="W127" s="23"/>
      <c r="X127" s="23"/>
      <c r="Y127" s="24">
        <v>0</v>
      </c>
      <c r="Z127" s="22">
        <v>0</v>
      </c>
      <c r="AA127" s="22"/>
      <c r="AB127" s="23"/>
      <c r="AC127" s="19">
        <v>300</v>
      </c>
      <c r="AD127" s="26">
        <v>0</v>
      </c>
      <c r="AE127" s="26"/>
      <c r="AF127" s="27"/>
      <c r="AG127" s="27">
        <v>400</v>
      </c>
      <c r="AH127" s="27">
        <v>1500</v>
      </c>
      <c r="AI127" s="28"/>
      <c r="AJ127" s="28"/>
      <c r="AK127" s="19"/>
      <c r="AM127">
        <v>14400</v>
      </c>
      <c r="AN127" s="3">
        <f>SUM(E127:AK127)-AM127+AL127</f>
        <v>-9800</v>
      </c>
    </row>
    <row r="128" ht="15.75" spans="1:40">
      <c r="A128" s="17" t="s">
        <v>304</v>
      </c>
      <c r="B128" s="18" t="s">
        <v>305</v>
      </c>
      <c r="C128" s="18" t="s">
        <v>42</v>
      </c>
      <c r="D128" s="18" t="s">
        <v>215</v>
      </c>
      <c r="E128" s="19"/>
      <c r="F128" s="20">
        <v>0</v>
      </c>
      <c r="G128" s="19">
        <v>0</v>
      </c>
      <c r="H128" s="19">
        <v>0</v>
      </c>
      <c r="I128" s="19"/>
      <c r="J128" s="19"/>
      <c r="K128" s="19">
        <v>500</v>
      </c>
      <c r="L128" s="19"/>
      <c r="M128" s="19"/>
      <c r="N128" s="3">
        <v>0</v>
      </c>
      <c r="O128" s="21">
        <v>600</v>
      </c>
      <c r="P128" s="22">
        <v>0</v>
      </c>
      <c r="Q128" s="21">
        <v>0</v>
      </c>
      <c r="R128" s="21"/>
      <c r="S128" s="21">
        <v>0</v>
      </c>
      <c r="T128" s="23">
        <v>0</v>
      </c>
      <c r="U128" s="23"/>
      <c r="V128" s="23"/>
      <c r="W128" s="23"/>
      <c r="X128" s="23"/>
      <c r="Y128" s="24">
        <v>400</v>
      </c>
      <c r="Z128" s="22">
        <v>0</v>
      </c>
      <c r="AA128" s="22"/>
      <c r="AB128" s="23"/>
      <c r="AC128" s="19">
        <v>300</v>
      </c>
      <c r="AD128" s="26">
        <v>0</v>
      </c>
      <c r="AE128" s="26"/>
      <c r="AF128" s="27"/>
      <c r="AG128" s="27">
        <v>500</v>
      </c>
      <c r="AH128" s="27">
        <v>1500</v>
      </c>
      <c r="AI128" s="28"/>
      <c r="AJ128" s="28"/>
      <c r="AK128" s="19"/>
      <c r="AM128">
        <v>14400</v>
      </c>
      <c r="AN128" s="3">
        <f>SUM(E128:AK128)-AM128+AL128</f>
        <v>-10600</v>
      </c>
    </row>
    <row r="129" ht="15.75" spans="1:40">
      <c r="A129" s="17" t="s">
        <v>306</v>
      </c>
      <c r="B129" s="18" t="s">
        <v>307</v>
      </c>
      <c r="C129" s="18" t="s">
        <v>51</v>
      </c>
      <c r="D129" s="18" t="s">
        <v>215</v>
      </c>
      <c r="E129" s="19"/>
      <c r="F129" s="20">
        <v>0</v>
      </c>
      <c r="G129" s="19">
        <v>362.5</v>
      </c>
      <c r="H129" s="19">
        <v>200</v>
      </c>
      <c r="I129" s="19"/>
      <c r="J129" s="19"/>
      <c r="K129" s="19">
        <v>500</v>
      </c>
      <c r="L129" s="19"/>
      <c r="M129" s="19"/>
      <c r="N129" s="3">
        <v>0</v>
      </c>
      <c r="O129" s="21">
        <v>1800</v>
      </c>
      <c r="P129" s="22">
        <v>600</v>
      </c>
      <c r="Q129" s="21">
        <v>350</v>
      </c>
      <c r="R129" s="21"/>
      <c r="S129" s="21">
        <v>0</v>
      </c>
      <c r="T129" s="23">
        <v>0</v>
      </c>
      <c r="U129" s="23"/>
      <c r="V129" s="23"/>
      <c r="W129" s="23"/>
      <c r="X129" s="23"/>
      <c r="Y129" s="24">
        <v>0</v>
      </c>
      <c r="Z129" s="22">
        <v>0</v>
      </c>
      <c r="AA129" s="22"/>
      <c r="AB129" s="23"/>
      <c r="AC129" s="19">
        <v>650</v>
      </c>
      <c r="AD129" s="26">
        <v>0</v>
      </c>
      <c r="AE129" s="26"/>
      <c r="AF129" s="27"/>
      <c r="AG129" s="27">
        <v>200</v>
      </c>
      <c r="AH129" s="27">
        <v>1500</v>
      </c>
      <c r="AI129" s="28">
        <v>800</v>
      </c>
      <c r="AJ129" s="28">
        <v>960</v>
      </c>
      <c r="AK129" s="19"/>
      <c r="AM129">
        <v>24000</v>
      </c>
      <c r="AN129" s="3">
        <f>SUM(E129:AK129)-AM129+AL129+22000</f>
        <v>5922.5</v>
      </c>
    </row>
    <row r="130" ht="15.75" spans="1:40">
      <c r="A130" s="17" t="s">
        <v>308</v>
      </c>
      <c r="B130" s="18" t="s">
        <v>309</v>
      </c>
      <c r="C130" s="18" t="s">
        <v>51</v>
      </c>
      <c r="D130" s="18" t="s">
        <v>215</v>
      </c>
      <c r="E130" s="19"/>
      <c r="F130" s="20">
        <v>0</v>
      </c>
      <c r="G130" s="19">
        <v>0</v>
      </c>
      <c r="H130" s="19">
        <v>0</v>
      </c>
      <c r="I130" s="19"/>
      <c r="J130" s="19"/>
      <c r="K130" s="19">
        <v>0</v>
      </c>
      <c r="L130" s="19"/>
      <c r="M130" s="19"/>
      <c r="N130" s="3">
        <v>0</v>
      </c>
      <c r="O130" s="21">
        <v>1800</v>
      </c>
      <c r="P130" s="22">
        <v>1800</v>
      </c>
      <c r="Q130" s="21">
        <v>350</v>
      </c>
      <c r="R130" s="21"/>
      <c r="S130" s="21">
        <v>0</v>
      </c>
      <c r="T130" s="23">
        <v>0</v>
      </c>
      <c r="U130" s="23"/>
      <c r="V130" s="23"/>
      <c r="W130" s="23"/>
      <c r="X130" s="23"/>
      <c r="Y130" s="24">
        <v>0</v>
      </c>
      <c r="Z130" s="22">
        <v>0</v>
      </c>
      <c r="AA130" s="22"/>
      <c r="AB130" s="23"/>
      <c r="AC130" s="19">
        <v>1030</v>
      </c>
      <c r="AD130" s="26">
        <v>0</v>
      </c>
      <c r="AE130" s="26"/>
      <c r="AF130" s="27"/>
      <c r="AG130" s="27">
        <v>300</v>
      </c>
      <c r="AH130" s="27">
        <v>1500</v>
      </c>
      <c r="AI130" s="28">
        <v>400</v>
      </c>
      <c r="AJ130" s="28">
        <v>960</v>
      </c>
      <c r="AK130" s="19"/>
      <c r="AM130">
        <v>24000</v>
      </c>
      <c r="AN130" s="3">
        <f>SUM(E130:AK130)-AM130+AL130</f>
        <v>-15860</v>
      </c>
    </row>
    <row r="131" ht="15.75" spans="1:40">
      <c r="A131" s="17" t="s">
        <v>310</v>
      </c>
      <c r="B131" s="18" t="s">
        <v>311</v>
      </c>
      <c r="C131" s="18" t="s">
        <v>95</v>
      </c>
      <c r="D131" s="18" t="s">
        <v>215</v>
      </c>
      <c r="E131" s="19"/>
      <c r="F131" s="20">
        <v>0</v>
      </c>
      <c r="G131" s="19">
        <v>775</v>
      </c>
      <c r="H131" s="19">
        <v>200</v>
      </c>
      <c r="I131" s="19"/>
      <c r="J131" s="19"/>
      <c r="K131" s="19">
        <v>0</v>
      </c>
      <c r="L131" s="19"/>
      <c r="M131" s="19"/>
      <c r="N131" s="3">
        <v>10860</v>
      </c>
      <c r="O131" s="21">
        <v>1800</v>
      </c>
      <c r="P131" s="22">
        <v>0</v>
      </c>
      <c r="Q131" s="21">
        <v>175</v>
      </c>
      <c r="R131" s="21"/>
      <c r="S131" s="21">
        <v>0</v>
      </c>
      <c r="T131" s="23">
        <v>0</v>
      </c>
      <c r="U131" s="23"/>
      <c r="V131" s="23"/>
      <c r="W131" s="23"/>
      <c r="X131" s="23"/>
      <c r="Y131" s="24">
        <v>1040</v>
      </c>
      <c r="Z131" s="22">
        <v>0</v>
      </c>
      <c r="AA131" s="22"/>
      <c r="AB131" s="23"/>
      <c r="AC131" s="19">
        <v>350</v>
      </c>
      <c r="AD131" s="26">
        <v>0</v>
      </c>
      <c r="AE131" s="26"/>
      <c r="AF131" s="27"/>
      <c r="AG131" s="27">
        <v>200</v>
      </c>
      <c r="AH131" s="27">
        <v>1500</v>
      </c>
      <c r="AI131" s="28">
        <v>400</v>
      </c>
      <c r="AJ131" s="28">
        <v>960</v>
      </c>
      <c r="AK131" s="19"/>
      <c r="AM131">
        <v>24000</v>
      </c>
      <c r="AN131" s="3">
        <f>SUM(E131:AK131)-AM131+AL131</f>
        <v>-5740</v>
      </c>
    </row>
    <row r="132" ht="15.75" spans="1:40">
      <c r="A132" s="17" t="s">
        <v>312</v>
      </c>
      <c r="B132" s="18" t="s">
        <v>313</v>
      </c>
      <c r="C132" s="18" t="s">
        <v>42</v>
      </c>
      <c r="D132" s="18" t="s">
        <v>215</v>
      </c>
      <c r="E132" s="19"/>
      <c r="F132" s="20">
        <v>0</v>
      </c>
      <c r="G132" s="19">
        <v>0</v>
      </c>
      <c r="H132" s="19">
        <v>0</v>
      </c>
      <c r="I132" s="19">
        <v>1500</v>
      </c>
      <c r="J132" s="19"/>
      <c r="K132" s="19">
        <v>500</v>
      </c>
      <c r="L132" s="19"/>
      <c r="M132" s="19"/>
      <c r="N132" s="3">
        <v>0</v>
      </c>
      <c r="O132" s="21">
        <v>600</v>
      </c>
      <c r="P132" s="22">
        <v>0</v>
      </c>
      <c r="Q132" s="21">
        <v>0</v>
      </c>
      <c r="R132" s="21"/>
      <c r="S132" s="21">
        <v>0</v>
      </c>
      <c r="T132" s="23">
        <v>0</v>
      </c>
      <c r="U132" s="23"/>
      <c r="V132" s="23"/>
      <c r="W132" s="23"/>
      <c r="X132" s="23"/>
      <c r="Y132" s="24">
        <v>0</v>
      </c>
      <c r="Z132" s="22">
        <v>0</v>
      </c>
      <c r="AA132" s="22"/>
      <c r="AB132" s="23"/>
      <c r="AC132" s="19"/>
      <c r="AD132" s="26">
        <v>0</v>
      </c>
      <c r="AE132" s="26"/>
      <c r="AF132" s="27"/>
      <c r="AG132" s="27">
        <v>400</v>
      </c>
      <c r="AH132" s="27">
        <v>1500</v>
      </c>
      <c r="AI132" s="28"/>
      <c r="AJ132" s="28"/>
      <c r="AK132" s="19"/>
      <c r="AM132">
        <v>14400</v>
      </c>
      <c r="AN132" s="3">
        <f>SUM(E132:AK132)-AM132+AL132</f>
        <v>-9900</v>
      </c>
    </row>
    <row r="133" ht="15.75" spans="1:40">
      <c r="A133" s="17" t="s">
        <v>314</v>
      </c>
      <c r="B133" s="18" t="s">
        <v>315</v>
      </c>
      <c r="C133" s="18" t="s">
        <v>54</v>
      </c>
      <c r="D133" s="18" t="s">
        <v>215</v>
      </c>
      <c r="E133" s="19"/>
      <c r="F133" s="20">
        <v>0</v>
      </c>
      <c r="G133" s="19">
        <v>60</v>
      </c>
      <c r="H133" s="19">
        <v>0</v>
      </c>
      <c r="I133" s="19"/>
      <c r="J133" s="19"/>
      <c r="K133" s="19">
        <v>0</v>
      </c>
      <c r="L133" s="19"/>
      <c r="M133" s="19"/>
      <c r="N133" s="3">
        <v>4800</v>
      </c>
      <c r="O133" s="21">
        <v>1800</v>
      </c>
      <c r="P133" s="22">
        <v>600</v>
      </c>
      <c r="Q133" s="21">
        <v>1190</v>
      </c>
      <c r="R133" s="21"/>
      <c r="S133" s="21">
        <v>0</v>
      </c>
      <c r="T133" s="23">
        <v>0</v>
      </c>
      <c r="U133" s="23"/>
      <c r="V133" s="23"/>
      <c r="W133" s="23"/>
      <c r="X133" s="23"/>
      <c r="Y133" s="24">
        <v>0</v>
      </c>
      <c r="Z133" s="22">
        <v>0</v>
      </c>
      <c r="AA133" s="22"/>
      <c r="AB133" s="23"/>
      <c r="AC133" s="19">
        <v>650</v>
      </c>
      <c r="AD133" s="26">
        <v>0</v>
      </c>
      <c r="AE133" s="26"/>
      <c r="AF133" s="27"/>
      <c r="AG133" s="27">
        <v>100</v>
      </c>
      <c r="AH133" s="27">
        <v>1500</v>
      </c>
      <c r="AI133" s="28">
        <v>400</v>
      </c>
      <c r="AJ133" s="28">
        <v>1120</v>
      </c>
      <c r="AK133" s="19"/>
      <c r="AM133">
        <v>24000</v>
      </c>
      <c r="AN133" s="3">
        <f>SUM(E133:AK133)-AM133+AL133</f>
        <v>-11780</v>
      </c>
    </row>
    <row r="134" ht="15.75" spans="1:40">
      <c r="A134" s="17" t="s">
        <v>316</v>
      </c>
      <c r="B134" s="18" t="s">
        <v>317</v>
      </c>
      <c r="C134" s="18" t="s">
        <v>95</v>
      </c>
      <c r="D134" s="18" t="s">
        <v>215</v>
      </c>
      <c r="E134" s="19">
        <v>1500</v>
      </c>
      <c r="F134" s="20">
        <v>0</v>
      </c>
      <c r="G134" s="19">
        <v>2450</v>
      </c>
      <c r="H134" s="19">
        <v>3600</v>
      </c>
      <c r="I134" s="19">
        <v>12320</v>
      </c>
      <c r="J134" s="33">
        <v>62200</v>
      </c>
      <c r="K134" s="19">
        <v>0</v>
      </c>
      <c r="L134" s="19"/>
      <c r="M134" s="19"/>
      <c r="N134" s="3">
        <v>4800</v>
      </c>
      <c r="O134" s="21">
        <v>1200</v>
      </c>
      <c r="P134" s="22">
        <v>600</v>
      </c>
      <c r="Q134" s="21">
        <v>420</v>
      </c>
      <c r="R134" s="21"/>
      <c r="S134" s="21">
        <v>1200</v>
      </c>
      <c r="T134" s="23">
        <v>0</v>
      </c>
      <c r="U134" s="23"/>
      <c r="V134" s="23"/>
      <c r="W134" s="23"/>
      <c r="X134" s="23"/>
      <c r="Y134" s="24">
        <v>800</v>
      </c>
      <c r="Z134" s="22">
        <v>0</v>
      </c>
      <c r="AA134" s="22"/>
      <c r="AB134" s="23"/>
      <c r="AC134" s="19">
        <v>250</v>
      </c>
      <c r="AD134" s="26">
        <v>3000</v>
      </c>
      <c r="AE134" s="26"/>
      <c r="AF134" s="27"/>
      <c r="AG134" s="27">
        <v>200</v>
      </c>
      <c r="AH134" s="27">
        <v>1500</v>
      </c>
      <c r="AI134" s="28">
        <v>400</v>
      </c>
      <c r="AJ134" s="28">
        <v>960</v>
      </c>
      <c r="AK134" s="19">
        <v>1000</v>
      </c>
      <c r="AL134" s="5"/>
      <c r="AM134">
        <v>24000</v>
      </c>
      <c r="AN134" s="3">
        <f>SUM(E134:AK134)-AM134+AL134+3000</f>
        <v>77400</v>
      </c>
    </row>
    <row r="135" ht="15.75" spans="1:40">
      <c r="A135" s="17" t="s">
        <v>318</v>
      </c>
      <c r="B135" s="18" t="s">
        <v>319</v>
      </c>
      <c r="C135" s="18" t="s">
        <v>54</v>
      </c>
      <c r="D135" s="18" t="s">
        <v>215</v>
      </c>
      <c r="E135" s="19"/>
      <c r="F135" s="20">
        <v>0</v>
      </c>
      <c r="G135" s="19">
        <v>0</v>
      </c>
      <c r="H135" s="19">
        <v>0</v>
      </c>
      <c r="I135" s="19"/>
      <c r="J135" s="19"/>
      <c r="K135" s="19">
        <v>0</v>
      </c>
      <c r="L135" s="19"/>
      <c r="M135" s="19"/>
      <c r="N135" s="3">
        <v>0</v>
      </c>
      <c r="O135" s="21">
        <v>1800</v>
      </c>
      <c r="P135" s="22">
        <v>1200</v>
      </c>
      <c r="Q135" s="21">
        <v>1680</v>
      </c>
      <c r="R135" s="21"/>
      <c r="S135" s="21">
        <v>0</v>
      </c>
      <c r="T135" s="23">
        <v>0</v>
      </c>
      <c r="U135" s="23"/>
      <c r="V135" s="23"/>
      <c r="W135" s="23"/>
      <c r="X135" s="23"/>
      <c r="Y135" s="24">
        <v>400</v>
      </c>
      <c r="Z135" s="22">
        <v>0</v>
      </c>
      <c r="AA135" s="22"/>
      <c r="AB135" s="23"/>
      <c r="AC135" s="19">
        <v>400</v>
      </c>
      <c r="AD135" s="26">
        <v>0</v>
      </c>
      <c r="AE135" s="26"/>
      <c r="AF135" s="27"/>
      <c r="AG135" s="27">
        <v>200</v>
      </c>
      <c r="AH135" s="27">
        <v>1500</v>
      </c>
      <c r="AI135" s="28">
        <v>400</v>
      </c>
      <c r="AJ135" s="28">
        <v>960</v>
      </c>
      <c r="AK135" s="19"/>
      <c r="AM135">
        <v>24000</v>
      </c>
      <c r="AN135" s="3">
        <f>SUM(E135:AK135)-AM135+AL135</f>
        <v>-15460</v>
      </c>
    </row>
    <row r="136" ht="15.75" spans="1:40">
      <c r="A136" s="17" t="s">
        <v>320</v>
      </c>
      <c r="B136" s="18" t="s">
        <v>321</v>
      </c>
      <c r="C136" s="18" t="s">
        <v>51</v>
      </c>
      <c r="D136" s="18" t="s">
        <v>215</v>
      </c>
      <c r="E136" s="19"/>
      <c r="F136" s="20">
        <v>15000</v>
      </c>
      <c r="G136" s="19">
        <v>1600</v>
      </c>
      <c r="H136" s="19">
        <v>200</v>
      </c>
      <c r="I136" s="19">
        <v>160</v>
      </c>
      <c r="J136" s="19"/>
      <c r="K136" s="19">
        <v>0</v>
      </c>
      <c r="L136" s="19"/>
      <c r="M136" s="19"/>
      <c r="N136" s="3">
        <v>0</v>
      </c>
      <c r="O136" s="21">
        <v>1800</v>
      </c>
      <c r="P136" s="22">
        <v>600</v>
      </c>
      <c r="Q136" s="21">
        <v>350</v>
      </c>
      <c r="R136" s="21"/>
      <c r="S136" s="21">
        <v>0</v>
      </c>
      <c r="T136" s="23">
        <v>0</v>
      </c>
      <c r="U136" s="23"/>
      <c r="V136" s="23"/>
      <c r="W136" s="23"/>
      <c r="X136" s="23"/>
      <c r="Y136" s="24">
        <v>400</v>
      </c>
      <c r="Z136" s="22">
        <v>0</v>
      </c>
      <c r="AA136" s="22"/>
      <c r="AB136" s="23"/>
      <c r="AC136" s="19">
        <v>350</v>
      </c>
      <c r="AD136" s="26">
        <v>4000</v>
      </c>
      <c r="AE136" s="26"/>
      <c r="AF136" s="27"/>
      <c r="AG136" s="27">
        <v>200</v>
      </c>
      <c r="AH136" s="27">
        <v>1500</v>
      </c>
      <c r="AI136" s="28"/>
      <c r="AJ136" s="28">
        <v>960</v>
      </c>
      <c r="AK136" s="19"/>
      <c r="AM136">
        <v>24000</v>
      </c>
      <c r="AN136" s="3">
        <f>SUM(E136:AK136)-AM136+AL136</f>
        <v>3120</v>
      </c>
    </row>
    <row r="137" ht="15.75" spans="1:40">
      <c r="A137" s="17" t="s">
        <v>322</v>
      </c>
      <c r="B137" s="18" t="s">
        <v>323</v>
      </c>
      <c r="C137" s="18" t="s">
        <v>57</v>
      </c>
      <c r="D137" s="18" t="s">
        <v>215</v>
      </c>
      <c r="E137" s="19"/>
      <c r="F137" s="20">
        <v>0</v>
      </c>
      <c r="G137" s="19">
        <v>0</v>
      </c>
      <c r="H137" s="19">
        <v>200</v>
      </c>
      <c r="I137" s="19">
        <v>2480</v>
      </c>
      <c r="J137" s="19"/>
      <c r="K137" s="19">
        <v>0</v>
      </c>
      <c r="L137" s="19"/>
      <c r="M137" s="19">
        <v>1000</v>
      </c>
      <c r="N137" s="3">
        <v>13350</v>
      </c>
      <c r="O137" s="21">
        <v>1800</v>
      </c>
      <c r="P137" s="22">
        <v>0</v>
      </c>
      <c r="Q137" s="21">
        <v>4970</v>
      </c>
      <c r="R137" s="21"/>
      <c r="S137" s="21">
        <v>3840</v>
      </c>
      <c r="T137" s="23">
        <v>2429.84</v>
      </c>
      <c r="U137" s="23"/>
      <c r="V137" s="23"/>
      <c r="W137" s="23"/>
      <c r="X137" s="23"/>
      <c r="Y137" s="24">
        <v>0</v>
      </c>
      <c r="Z137" s="22">
        <v>0</v>
      </c>
      <c r="AA137" s="22"/>
      <c r="AB137" s="23"/>
      <c r="AC137" s="19">
        <v>300</v>
      </c>
      <c r="AD137" s="26">
        <v>0</v>
      </c>
      <c r="AE137" s="26"/>
      <c r="AF137" s="27"/>
      <c r="AG137" s="27">
        <v>100</v>
      </c>
      <c r="AH137" s="27">
        <v>1500</v>
      </c>
      <c r="AI137" s="28">
        <v>400</v>
      </c>
      <c r="AJ137" s="28">
        <v>960</v>
      </c>
      <c r="AK137" s="19"/>
      <c r="AL137" s="5"/>
      <c r="AM137">
        <v>24000</v>
      </c>
      <c r="AN137" s="3">
        <f>SUM(E137:AK137)-AM137+AL137</f>
        <v>9329.84</v>
      </c>
    </row>
    <row r="138" ht="15.75" spans="1:40">
      <c r="A138" s="17" t="s">
        <v>324</v>
      </c>
      <c r="B138" s="18" t="s">
        <v>325</v>
      </c>
      <c r="C138" s="18" t="s">
        <v>42</v>
      </c>
      <c r="D138" s="18" t="s">
        <v>215</v>
      </c>
      <c r="E138" s="19"/>
      <c r="F138" s="20">
        <v>0</v>
      </c>
      <c r="G138" s="19">
        <v>0</v>
      </c>
      <c r="H138" s="19">
        <v>0</v>
      </c>
      <c r="I138" s="19"/>
      <c r="J138" s="19"/>
      <c r="K138" s="19">
        <v>500</v>
      </c>
      <c r="L138" s="19"/>
      <c r="M138" s="19">
        <v>1000</v>
      </c>
      <c r="N138" s="3">
        <v>0</v>
      </c>
      <c r="O138" s="21">
        <v>600</v>
      </c>
      <c r="P138" s="22">
        <v>0</v>
      </c>
      <c r="Q138" s="21">
        <v>0</v>
      </c>
      <c r="R138" s="21"/>
      <c r="S138" s="21">
        <v>0</v>
      </c>
      <c r="T138" s="23">
        <v>0</v>
      </c>
      <c r="U138" s="23"/>
      <c r="V138" s="23"/>
      <c r="W138" s="23"/>
      <c r="X138" s="23"/>
      <c r="Y138" s="24">
        <v>0</v>
      </c>
      <c r="Z138" s="22">
        <v>0</v>
      </c>
      <c r="AA138" s="22"/>
      <c r="AB138" s="23"/>
      <c r="AC138" s="19"/>
      <c r="AD138" s="26">
        <v>0</v>
      </c>
      <c r="AE138" s="26"/>
      <c r="AF138" s="27"/>
      <c r="AG138" s="27">
        <v>450</v>
      </c>
      <c r="AH138" s="27">
        <v>1500</v>
      </c>
      <c r="AI138" s="28"/>
      <c r="AJ138" s="28"/>
      <c r="AK138" s="19"/>
      <c r="AM138">
        <v>14400</v>
      </c>
      <c r="AN138" s="3">
        <f>SUM(E138:AK138)-AM138+AL138</f>
        <v>-10350</v>
      </c>
    </row>
    <row r="139" ht="15.75" spans="1:40">
      <c r="A139" s="17" t="s">
        <v>326</v>
      </c>
      <c r="B139" s="18" t="s">
        <v>327</v>
      </c>
      <c r="C139" s="18" t="s">
        <v>54</v>
      </c>
      <c r="D139" s="18" t="s">
        <v>215</v>
      </c>
      <c r="E139" s="19"/>
      <c r="F139" s="20">
        <v>0</v>
      </c>
      <c r="G139" s="19">
        <v>250</v>
      </c>
      <c r="H139" s="19">
        <v>2600</v>
      </c>
      <c r="I139" s="19">
        <v>320</v>
      </c>
      <c r="J139" s="19"/>
      <c r="K139" s="19">
        <v>0</v>
      </c>
      <c r="L139" s="19"/>
      <c r="M139" s="19"/>
      <c r="N139" s="3">
        <v>0</v>
      </c>
      <c r="O139" s="21">
        <v>1800</v>
      </c>
      <c r="P139" s="22">
        <v>1200</v>
      </c>
      <c r="Q139" s="21">
        <v>70</v>
      </c>
      <c r="R139" s="21"/>
      <c r="S139" s="21">
        <v>4060</v>
      </c>
      <c r="T139" s="23">
        <v>0</v>
      </c>
      <c r="U139" s="23"/>
      <c r="V139" s="23"/>
      <c r="W139" s="23"/>
      <c r="X139" s="23"/>
      <c r="Y139" s="24">
        <v>0</v>
      </c>
      <c r="Z139" s="22">
        <v>0</v>
      </c>
      <c r="AA139" s="22"/>
      <c r="AB139" s="23"/>
      <c r="AC139" s="19">
        <v>580</v>
      </c>
      <c r="AD139" s="40">
        <v>0</v>
      </c>
      <c r="AE139" s="26"/>
      <c r="AF139" s="27">
        <v>500</v>
      </c>
      <c r="AG139" s="27">
        <v>0</v>
      </c>
      <c r="AH139" s="27">
        <v>1500</v>
      </c>
      <c r="AI139" s="28"/>
      <c r="AJ139" s="28"/>
      <c r="AK139" s="19"/>
      <c r="AL139" s="5"/>
      <c r="AM139">
        <v>10000</v>
      </c>
      <c r="AN139" s="3">
        <f>SUM(E139:AK139)-AM139+AL139</f>
        <v>2880</v>
      </c>
    </row>
    <row r="140" ht="15.75" spans="1:40">
      <c r="A140" s="17" t="s">
        <v>328</v>
      </c>
      <c r="B140" s="18" t="s">
        <v>329</v>
      </c>
      <c r="C140" s="18" t="s">
        <v>54</v>
      </c>
      <c r="D140" s="18" t="s">
        <v>215</v>
      </c>
      <c r="E140" s="19"/>
      <c r="F140" s="20">
        <v>0</v>
      </c>
      <c r="G140" s="19">
        <v>100</v>
      </c>
      <c r="H140" s="19">
        <v>1200</v>
      </c>
      <c r="I140" s="19"/>
      <c r="J140" s="18"/>
      <c r="K140" s="19">
        <v>0</v>
      </c>
      <c r="L140" s="19"/>
      <c r="M140" s="19"/>
      <c r="N140" s="3">
        <v>15240</v>
      </c>
      <c r="O140" s="21">
        <v>1200</v>
      </c>
      <c r="P140" s="22">
        <v>1200</v>
      </c>
      <c r="Q140" s="21">
        <v>70</v>
      </c>
      <c r="R140" s="21"/>
      <c r="S140" s="21">
        <v>0</v>
      </c>
      <c r="T140" s="23">
        <v>0</v>
      </c>
      <c r="U140" s="23"/>
      <c r="V140" s="23"/>
      <c r="W140" s="23"/>
      <c r="X140" s="23"/>
      <c r="Y140" s="24">
        <v>0</v>
      </c>
      <c r="Z140" s="22">
        <v>0</v>
      </c>
      <c r="AA140" s="22"/>
      <c r="AB140" s="23"/>
      <c r="AC140" s="19">
        <v>580</v>
      </c>
      <c r="AD140" s="40">
        <v>0</v>
      </c>
      <c r="AE140" s="26"/>
      <c r="AF140" s="27"/>
      <c r="AG140" s="27">
        <v>200</v>
      </c>
      <c r="AH140" s="27">
        <v>1500</v>
      </c>
      <c r="AI140" s="28"/>
      <c r="AJ140" s="28"/>
      <c r="AK140" s="19"/>
      <c r="AM140">
        <v>5000</v>
      </c>
      <c r="AN140" s="3">
        <f>SUM(E140:AK140)-AM140+AL140</f>
        <v>16290</v>
      </c>
    </row>
    <row r="141" ht="15.75" spans="1:40">
      <c r="A141" s="17" t="s">
        <v>330</v>
      </c>
      <c r="B141" s="18" t="s">
        <v>331</v>
      </c>
      <c r="C141" s="18" t="s">
        <v>102</v>
      </c>
      <c r="D141" s="18" t="s">
        <v>215</v>
      </c>
      <c r="E141" s="19"/>
      <c r="F141" s="20">
        <v>0</v>
      </c>
      <c r="G141" s="19">
        <v>1820</v>
      </c>
      <c r="H141" s="19">
        <v>1200</v>
      </c>
      <c r="I141" s="19">
        <v>800</v>
      </c>
      <c r="J141" s="19"/>
      <c r="K141" s="19">
        <v>0</v>
      </c>
      <c r="L141" s="19"/>
      <c r="M141" s="19">
        <v>1000</v>
      </c>
      <c r="N141" s="3">
        <v>4800</v>
      </c>
      <c r="O141" s="21">
        <v>1800</v>
      </c>
      <c r="P141" s="22">
        <v>1800</v>
      </c>
      <c r="Q141" s="21">
        <v>420</v>
      </c>
      <c r="R141" s="21"/>
      <c r="S141" s="21">
        <v>2240</v>
      </c>
      <c r="T141" s="23">
        <v>5028.52</v>
      </c>
      <c r="U141" s="23"/>
      <c r="V141" s="23"/>
      <c r="W141" s="23"/>
      <c r="X141" s="23"/>
      <c r="Y141" s="24">
        <v>800</v>
      </c>
      <c r="Z141" s="22">
        <v>0</v>
      </c>
      <c r="AA141" s="22"/>
      <c r="AB141" s="23"/>
      <c r="AC141" s="19">
        <v>680</v>
      </c>
      <c r="AD141" s="40">
        <v>0</v>
      </c>
      <c r="AE141" s="40"/>
      <c r="AF141" s="27"/>
      <c r="AG141" s="27">
        <v>100</v>
      </c>
      <c r="AH141" s="27">
        <v>1500</v>
      </c>
      <c r="AI141" s="28">
        <v>300</v>
      </c>
      <c r="AJ141" s="28">
        <v>960</v>
      </c>
      <c r="AK141" s="19"/>
      <c r="AM141">
        <v>24000</v>
      </c>
      <c r="AN141" s="3">
        <f>SUM(E141:AK141)-AM141+AL141</f>
        <v>1248.52</v>
      </c>
    </row>
    <row r="142" ht="15.75" spans="1:40">
      <c r="A142" s="17" t="s">
        <v>332</v>
      </c>
      <c r="B142" s="18" t="s">
        <v>333</v>
      </c>
      <c r="C142" s="18" t="s">
        <v>57</v>
      </c>
      <c r="D142" s="18" t="s">
        <v>215</v>
      </c>
      <c r="E142" s="19"/>
      <c r="F142" s="20">
        <v>0</v>
      </c>
      <c r="G142" s="19">
        <v>150</v>
      </c>
      <c r="H142" s="19">
        <v>2400</v>
      </c>
      <c r="I142" s="19"/>
      <c r="J142" s="19"/>
      <c r="K142" s="19">
        <v>0</v>
      </c>
      <c r="L142" s="19"/>
      <c r="M142" s="19"/>
      <c r="N142" s="3">
        <v>0</v>
      </c>
      <c r="O142" s="21">
        <v>600</v>
      </c>
      <c r="P142" s="22">
        <v>0</v>
      </c>
      <c r="Q142" s="21">
        <v>0</v>
      </c>
      <c r="R142" s="21"/>
      <c r="S142" s="21">
        <v>0</v>
      </c>
      <c r="T142" s="23">
        <v>0</v>
      </c>
      <c r="U142" s="23"/>
      <c r="V142" s="23"/>
      <c r="W142" s="23"/>
      <c r="X142" s="23"/>
      <c r="Y142" s="24">
        <v>0</v>
      </c>
      <c r="Z142" s="22">
        <v>0</v>
      </c>
      <c r="AA142" s="22"/>
      <c r="AB142" s="23"/>
      <c r="AC142" s="19">
        <v>50</v>
      </c>
      <c r="AD142" s="40">
        <v>0</v>
      </c>
      <c r="AE142" s="40"/>
      <c r="AF142" s="27"/>
      <c r="AG142" s="27">
        <v>0</v>
      </c>
      <c r="AH142" s="27">
        <v>1350</v>
      </c>
      <c r="AI142" s="28"/>
      <c r="AJ142" s="28"/>
      <c r="AK142" s="19"/>
      <c r="AM142">
        <v>24000</v>
      </c>
      <c r="AN142" s="3">
        <f>SUM(E142:AK142)-AM142+AL142+10000</f>
        <v>-9450</v>
      </c>
    </row>
    <row r="143" ht="15.75" spans="1:40">
      <c r="A143" s="17" t="s">
        <v>334</v>
      </c>
      <c r="B143" s="18" t="s">
        <v>335</v>
      </c>
      <c r="C143" s="18" t="s">
        <v>51</v>
      </c>
      <c r="D143" s="18" t="s">
        <v>215</v>
      </c>
      <c r="E143" s="19"/>
      <c r="F143" s="20">
        <v>0</v>
      </c>
      <c r="G143" s="19">
        <v>0</v>
      </c>
      <c r="H143" s="19">
        <v>200</v>
      </c>
      <c r="I143" s="19"/>
      <c r="J143" s="19"/>
      <c r="K143" s="19">
        <v>500</v>
      </c>
      <c r="L143" s="19"/>
      <c r="M143" s="19"/>
      <c r="N143" s="3">
        <v>0</v>
      </c>
      <c r="O143" s="21">
        <v>600</v>
      </c>
      <c r="P143" s="22">
        <v>600</v>
      </c>
      <c r="Q143" s="21">
        <v>140</v>
      </c>
      <c r="R143" s="21"/>
      <c r="S143" s="21">
        <v>240</v>
      </c>
      <c r="T143" s="23">
        <v>0</v>
      </c>
      <c r="U143" s="23"/>
      <c r="V143" s="23"/>
      <c r="W143" s="23"/>
      <c r="X143" s="23"/>
      <c r="Y143" s="24">
        <v>0</v>
      </c>
      <c r="Z143" s="22">
        <v>0</v>
      </c>
      <c r="AA143" s="22"/>
      <c r="AB143" s="23"/>
      <c r="AC143" s="19">
        <v>400</v>
      </c>
      <c r="AD143" s="40">
        <v>0</v>
      </c>
      <c r="AE143" s="40"/>
      <c r="AF143" s="27"/>
      <c r="AG143" s="27">
        <v>300</v>
      </c>
      <c r="AH143" s="27">
        <v>1500</v>
      </c>
      <c r="AI143" s="28">
        <v>300</v>
      </c>
      <c r="AJ143" s="28">
        <v>960</v>
      </c>
      <c r="AK143" s="19"/>
      <c r="AM143">
        <v>24000</v>
      </c>
      <c r="AN143" s="3">
        <f>SUM(E143:AK143)-AM143+AL143</f>
        <v>-18260</v>
      </c>
    </row>
    <row r="144" ht="15.75" spans="1:40">
      <c r="A144" s="17" t="s">
        <v>336</v>
      </c>
      <c r="B144" s="18" t="s">
        <v>337</v>
      </c>
      <c r="C144" s="18" t="s">
        <v>54</v>
      </c>
      <c r="D144" s="18" t="s">
        <v>215</v>
      </c>
      <c r="E144" s="19"/>
      <c r="F144" s="20">
        <v>0</v>
      </c>
      <c r="G144" s="19">
        <v>150</v>
      </c>
      <c r="H144" s="19">
        <v>2400</v>
      </c>
      <c r="I144" s="19"/>
      <c r="J144" s="19"/>
      <c r="K144" s="19">
        <v>0</v>
      </c>
      <c r="L144" s="19"/>
      <c r="M144" s="19"/>
      <c r="N144" s="3">
        <v>6690</v>
      </c>
      <c r="O144" s="21">
        <v>1200</v>
      </c>
      <c r="P144" s="22">
        <v>2400</v>
      </c>
      <c r="Q144" s="21">
        <v>420</v>
      </c>
      <c r="R144" s="21"/>
      <c r="S144" s="21">
        <v>0</v>
      </c>
      <c r="T144" s="23">
        <v>0</v>
      </c>
      <c r="U144" s="23"/>
      <c r="V144" s="23"/>
      <c r="W144" s="23"/>
      <c r="X144" s="23"/>
      <c r="Y144" s="24">
        <v>0</v>
      </c>
      <c r="Z144" s="22">
        <v>0</v>
      </c>
      <c r="AA144" s="22"/>
      <c r="AB144" s="23"/>
      <c r="AC144" s="19">
        <v>450</v>
      </c>
      <c r="AD144" s="40">
        <v>0</v>
      </c>
      <c r="AE144" s="40"/>
      <c r="AF144" s="27"/>
      <c r="AG144" s="27">
        <v>200</v>
      </c>
      <c r="AH144" s="27">
        <v>1200</v>
      </c>
      <c r="AI144" s="28"/>
      <c r="AJ144" s="28">
        <v>1120</v>
      </c>
      <c r="AK144" s="19"/>
      <c r="AM144">
        <v>24000</v>
      </c>
      <c r="AN144" s="3">
        <f>SUM(E144:AK144)-AM144+AL144</f>
        <v>-7770</v>
      </c>
    </row>
    <row r="145" ht="15.75" spans="1:40">
      <c r="A145" s="17" t="s">
        <v>338</v>
      </c>
      <c r="B145" s="18" t="s">
        <v>339</v>
      </c>
      <c r="C145" s="18" t="s">
        <v>51</v>
      </c>
      <c r="D145" s="18" t="s">
        <v>215</v>
      </c>
      <c r="E145" s="19"/>
      <c r="F145" s="20">
        <v>0</v>
      </c>
      <c r="G145" s="19">
        <v>0</v>
      </c>
      <c r="H145" s="19">
        <v>200</v>
      </c>
      <c r="I145" s="19"/>
      <c r="J145" s="19"/>
      <c r="K145" s="19">
        <v>500</v>
      </c>
      <c r="L145" s="19"/>
      <c r="M145" s="19"/>
      <c r="N145" s="3">
        <v>7050</v>
      </c>
      <c r="O145" s="21">
        <v>1800</v>
      </c>
      <c r="P145" s="22">
        <v>600</v>
      </c>
      <c r="Q145" s="21">
        <v>350</v>
      </c>
      <c r="R145" s="21"/>
      <c r="S145" s="21">
        <v>0</v>
      </c>
      <c r="T145" s="23">
        <v>0</v>
      </c>
      <c r="U145" s="23"/>
      <c r="V145" s="23"/>
      <c r="W145" s="23"/>
      <c r="X145" s="23"/>
      <c r="Y145" s="24">
        <v>0</v>
      </c>
      <c r="Z145" s="22">
        <v>0</v>
      </c>
      <c r="AA145" s="22"/>
      <c r="AB145" s="23"/>
      <c r="AC145" s="19">
        <v>1000</v>
      </c>
      <c r="AD145" s="40">
        <v>0</v>
      </c>
      <c r="AE145" s="40"/>
      <c r="AF145" s="27"/>
      <c r="AG145" s="27">
        <v>200</v>
      </c>
      <c r="AH145" s="27">
        <v>1500</v>
      </c>
      <c r="AI145" s="28"/>
      <c r="AJ145" s="28">
        <v>960</v>
      </c>
      <c r="AK145" s="32"/>
      <c r="AM145">
        <v>24000</v>
      </c>
      <c r="AN145" s="3">
        <f>SUM(E145:AK145)-AM145+AL145</f>
        <v>-9840</v>
      </c>
    </row>
    <row r="146" ht="15.75" spans="1:40">
      <c r="A146" s="17" t="s">
        <v>340</v>
      </c>
      <c r="B146" s="18" t="s">
        <v>341</v>
      </c>
      <c r="C146" s="18" t="s">
        <v>95</v>
      </c>
      <c r="D146" s="18" t="s">
        <v>215</v>
      </c>
      <c r="E146" s="19"/>
      <c r="F146" s="20">
        <v>0</v>
      </c>
      <c r="G146" s="19">
        <v>0</v>
      </c>
      <c r="H146" s="19">
        <v>200</v>
      </c>
      <c r="I146" s="19"/>
      <c r="J146" s="19"/>
      <c r="K146" s="19">
        <v>0</v>
      </c>
      <c r="L146" s="19"/>
      <c r="M146" s="19"/>
      <c r="N146" s="3">
        <v>0</v>
      </c>
      <c r="O146" s="21">
        <v>1200</v>
      </c>
      <c r="P146" s="22">
        <v>0</v>
      </c>
      <c r="Q146" s="21">
        <v>175</v>
      </c>
      <c r="R146" s="21"/>
      <c r="S146" s="21">
        <v>0</v>
      </c>
      <c r="T146" s="23">
        <v>0</v>
      </c>
      <c r="U146" s="23"/>
      <c r="V146" s="23"/>
      <c r="W146" s="23"/>
      <c r="X146" s="23"/>
      <c r="Y146" s="24">
        <v>0</v>
      </c>
      <c r="Z146" s="22">
        <v>0</v>
      </c>
      <c r="AA146" s="22"/>
      <c r="AB146" s="23"/>
      <c r="AC146" s="19">
        <v>330</v>
      </c>
      <c r="AD146" s="40">
        <v>0</v>
      </c>
      <c r="AE146" s="40"/>
      <c r="AF146" s="27"/>
      <c r="AG146" s="27">
        <v>150</v>
      </c>
      <c r="AH146" s="27">
        <v>0</v>
      </c>
      <c r="AI146" s="28"/>
      <c r="AJ146" s="28"/>
      <c r="AK146" s="19"/>
      <c r="AM146">
        <v>24000</v>
      </c>
      <c r="AN146" s="3">
        <f>SUM(E146:AK146)-AM146+AL146+5000+1000</f>
        <v>-15945</v>
      </c>
    </row>
    <row r="147" ht="15.75" spans="1:40">
      <c r="A147" s="17" t="s">
        <v>342</v>
      </c>
      <c r="B147" s="18" t="s">
        <v>343</v>
      </c>
      <c r="C147" s="18" t="s">
        <v>95</v>
      </c>
      <c r="D147" s="18" t="s">
        <v>215</v>
      </c>
      <c r="E147" s="19"/>
      <c r="F147" s="20">
        <v>0</v>
      </c>
      <c r="G147" s="19">
        <v>470</v>
      </c>
      <c r="H147" s="19">
        <v>1400</v>
      </c>
      <c r="I147" s="19"/>
      <c r="J147" s="19"/>
      <c r="K147" s="19">
        <v>0</v>
      </c>
      <c r="L147" s="19"/>
      <c r="M147" s="19"/>
      <c r="N147" s="3">
        <v>13590</v>
      </c>
      <c r="O147" s="21">
        <v>1800</v>
      </c>
      <c r="P147" s="22">
        <v>600</v>
      </c>
      <c r="Q147" s="21">
        <v>245</v>
      </c>
      <c r="R147" s="21"/>
      <c r="S147" s="21">
        <v>0</v>
      </c>
      <c r="T147" s="23">
        <v>0</v>
      </c>
      <c r="U147" s="23"/>
      <c r="V147" s="23"/>
      <c r="W147" s="23"/>
      <c r="X147" s="23"/>
      <c r="Y147" s="24">
        <v>800</v>
      </c>
      <c r="Z147" s="22">
        <v>0</v>
      </c>
      <c r="AA147" s="22"/>
      <c r="AB147" s="23"/>
      <c r="AC147" s="19">
        <v>330</v>
      </c>
      <c r="AD147" s="40">
        <v>0</v>
      </c>
      <c r="AE147" s="40"/>
      <c r="AF147" s="27"/>
      <c r="AG147" s="27">
        <v>200</v>
      </c>
      <c r="AH147" s="27">
        <v>1500</v>
      </c>
      <c r="AI147" s="28"/>
      <c r="AJ147" s="28"/>
      <c r="AK147" s="19"/>
      <c r="AM147">
        <v>24000</v>
      </c>
      <c r="AN147" s="3">
        <f>SUM(E147:AK147)-AM147+AL147</f>
        <v>-3065</v>
      </c>
    </row>
    <row r="148" ht="15.75" spans="1:40">
      <c r="A148" s="17" t="s">
        <v>344</v>
      </c>
      <c r="B148" s="18" t="s">
        <v>345</v>
      </c>
      <c r="C148" s="18" t="s">
        <v>95</v>
      </c>
      <c r="D148" s="18" t="s">
        <v>215</v>
      </c>
      <c r="E148" s="19"/>
      <c r="F148" s="20">
        <v>0</v>
      </c>
      <c r="G148" s="19">
        <v>0</v>
      </c>
      <c r="H148" s="19">
        <v>200</v>
      </c>
      <c r="I148" s="19"/>
      <c r="J148" s="19"/>
      <c r="K148" s="19">
        <v>0</v>
      </c>
      <c r="L148" s="19"/>
      <c r="M148" s="19"/>
      <c r="N148" s="3">
        <v>9360</v>
      </c>
      <c r="O148" s="21">
        <v>1200</v>
      </c>
      <c r="P148" s="22">
        <v>600</v>
      </c>
      <c r="Q148" s="21">
        <v>630</v>
      </c>
      <c r="R148" s="21"/>
      <c r="S148" s="21">
        <v>0</v>
      </c>
      <c r="T148" s="23">
        <v>0</v>
      </c>
      <c r="U148" s="23"/>
      <c r="V148" s="23"/>
      <c r="W148" s="23"/>
      <c r="X148" s="23"/>
      <c r="Y148" s="24">
        <v>800</v>
      </c>
      <c r="Z148" s="22">
        <v>0</v>
      </c>
      <c r="AA148" s="22"/>
      <c r="AB148" s="23"/>
      <c r="AC148" s="19">
        <v>830</v>
      </c>
      <c r="AD148" s="40">
        <v>0</v>
      </c>
      <c r="AE148" s="40"/>
      <c r="AF148" s="27"/>
      <c r="AG148" s="27">
        <v>400</v>
      </c>
      <c r="AH148" s="27">
        <v>1500</v>
      </c>
      <c r="AI148" s="28">
        <v>300</v>
      </c>
      <c r="AJ148" s="28"/>
      <c r="AK148" s="19"/>
      <c r="AM148">
        <v>24000</v>
      </c>
      <c r="AN148" s="3">
        <f>SUM(E148:AK148)-AM148+AL148+2000</f>
        <v>-6180</v>
      </c>
    </row>
    <row r="149" ht="15.75" spans="1:40">
      <c r="A149" s="17" t="s">
        <v>346</v>
      </c>
      <c r="B149" s="18" t="s">
        <v>347</v>
      </c>
      <c r="C149" s="18" t="s">
        <v>54</v>
      </c>
      <c r="D149" s="18" t="s">
        <v>215</v>
      </c>
      <c r="E149" s="19"/>
      <c r="F149" s="20">
        <v>0</v>
      </c>
      <c r="G149" s="19">
        <v>390</v>
      </c>
      <c r="H149" s="19">
        <v>200</v>
      </c>
      <c r="I149" s="19"/>
      <c r="J149" s="18"/>
      <c r="K149" s="19">
        <v>0</v>
      </c>
      <c r="L149" s="19"/>
      <c r="M149" s="19"/>
      <c r="N149" s="3">
        <v>0</v>
      </c>
      <c r="O149" s="21">
        <v>1200</v>
      </c>
      <c r="P149" s="22">
        <v>2400</v>
      </c>
      <c r="Q149" s="21">
        <v>140</v>
      </c>
      <c r="R149" s="21"/>
      <c r="S149" s="21">
        <v>0</v>
      </c>
      <c r="T149" s="23">
        <v>6737.92</v>
      </c>
      <c r="U149" s="23"/>
      <c r="V149" s="23"/>
      <c r="W149" s="23"/>
      <c r="X149" s="23"/>
      <c r="Y149" s="24">
        <v>0</v>
      </c>
      <c r="Z149" s="22">
        <v>0</v>
      </c>
      <c r="AA149" s="22"/>
      <c r="AB149" s="23"/>
      <c r="AC149" s="19">
        <v>480</v>
      </c>
      <c r="AD149" s="40">
        <v>0</v>
      </c>
      <c r="AE149" s="40"/>
      <c r="AF149" s="27"/>
      <c r="AG149" s="27">
        <v>200</v>
      </c>
      <c r="AH149" s="27">
        <v>1500</v>
      </c>
      <c r="AI149" s="28"/>
      <c r="AJ149" s="28"/>
      <c r="AK149" s="19"/>
      <c r="AL149" s="5">
        <v>-14328.5</v>
      </c>
      <c r="AM149">
        <v>9000</v>
      </c>
      <c r="AN149" s="3">
        <f>SUM(E149:AK149)-AM149+AL149</f>
        <v>-10080.58</v>
      </c>
    </row>
    <row r="150" ht="15.75" spans="1:40">
      <c r="A150" s="17" t="s">
        <v>348</v>
      </c>
      <c r="B150" s="18" t="s">
        <v>349</v>
      </c>
      <c r="C150" s="18" t="s">
        <v>95</v>
      </c>
      <c r="D150" s="18" t="s">
        <v>215</v>
      </c>
      <c r="E150" s="19"/>
      <c r="F150" s="20">
        <v>0</v>
      </c>
      <c r="G150" s="19">
        <v>260</v>
      </c>
      <c r="H150" s="19">
        <v>2400</v>
      </c>
      <c r="I150" s="19"/>
      <c r="J150" s="19"/>
      <c r="K150" s="19">
        <v>0</v>
      </c>
      <c r="L150" s="19"/>
      <c r="M150" s="19"/>
      <c r="N150" s="3">
        <v>14100</v>
      </c>
      <c r="O150" s="21">
        <v>1800</v>
      </c>
      <c r="P150" s="22">
        <v>0</v>
      </c>
      <c r="Q150" s="21">
        <v>175</v>
      </c>
      <c r="R150" s="21"/>
      <c r="S150" s="21">
        <v>240</v>
      </c>
      <c r="T150" s="23">
        <v>0</v>
      </c>
      <c r="U150" s="23"/>
      <c r="V150" s="23"/>
      <c r="W150" s="23"/>
      <c r="X150" s="23"/>
      <c r="Y150" s="24">
        <v>0</v>
      </c>
      <c r="Z150" s="22">
        <v>0</v>
      </c>
      <c r="AA150" s="22"/>
      <c r="AB150" s="23"/>
      <c r="AC150" s="19">
        <v>650</v>
      </c>
      <c r="AD150" s="40">
        <v>0</v>
      </c>
      <c r="AE150" s="40"/>
      <c r="AF150" s="27"/>
      <c r="AG150" s="27">
        <v>400</v>
      </c>
      <c r="AH150" s="27">
        <v>1500</v>
      </c>
      <c r="AI150" s="28">
        <v>400</v>
      </c>
      <c r="AJ150" s="28"/>
      <c r="AK150" s="19"/>
      <c r="AM150">
        <v>24000</v>
      </c>
      <c r="AN150" s="3">
        <f>SUM(E150:AK150)-AM150+AL150</f>
        <v>-2075</v>
      </c>
    </row>
    <row r="151" ht="15.75" spans="1:40">
      <c r="A151" s="17" t="s">
        <v>350</v>
      </c>
      <c r="B151" s="18" t="s">
        <v>351</v>
      </c>
      <c r="C151" s="18" t="s">
        <v>51</v>
      </c>
      <c r="D151" s="18" t="s">
        <v>215</v>
      </c>
      <c r="E151" s="19"/>
      <c r="F151" s="20">
        <v>0</v>
      </c>
      <c r="G151" s="19">
        <v>4600</v>
      </c>
      <c r="H151" s="19">
        <v>400</v>
      </c>
      <c r="I151" s="19">
        <v>480</v>
      </c>
      <c r="J151" s="19"/>
      <c r="K151" s="19">
        <v>500</v>
      </c>
      <c r="L151" s="19"/>
      <c r="M151" s="19"/>
      <c r="N151" s="3">
        <v>0</v>
      </c>
      <c r="O151" s="21">
        <v>1800</v>
      </c>
      <c r="P151" s="22">
        <v>600</v>
      </c>
      <c r="Q151" s="21">
        <v>350</v>
      </c>
      <c r="R151" s="21"/>
      <c r="S151" s="21">
        <v>0</v>
      </c>
      <c r="T151" s="23">
        <v>0</v>
      </c>
      <c r="U151" s="23"/>
      <c r="V151" s="23"/>
      <c r="W151" s="23"/>
      <c r="X151" s="23"/>
      <c r="Y151" s="24">
        <v>0</v>
      </c>
      <c r="Z151" s="22">
        <v>0</v>
      </c>
      <c r="AA151" s="22"/>
      <c r="AB151" s="23"/>
      <c r="AC151" s="19">
        <v>330</v>
      </c>
      <c r="AD151" s="40">
        <v>0</v>
      </c>
      <c r="AE151" s="40"/>
      <c r="AF151" s="27"/>
      <c r="AG151" s="27">
        <v>350</v>
      </c>
      <c r="AH151" s="27">
        <v>1500</v>
      </c>
      <c r="AI151" s="28"/>
      <c r="AJ151" s="28"/>
      <c r="AK151" s="19"/>
      <c r="AM151">
        <v>24000</v>
      </c>
      <c r="AN151" s="3">
        <f>SUM(E151:AK151)-AM151+AL151</f>
        <v>-13090</v>
      </c>
    </row>
    <row r="152" ht="15.75" spans="1:40">
      <c r="A152" s="17" t="s">
        <v>352</v>
      </c>
      <c r="B152" s="18" t="s">
        <v>353</v>
      </c>
      <c r="C152" s="18" t="s">
        <v>95</v>
      </c>
      <c r="D152" s="18" t="s">
        <v>215</v>
      </c>
      <c r="E152" s="19"/>
      <c r="F152" s="20">
        <v>15000</v>
      </c>
      <c r="G152" s="19">
        <v>2200</v>
      </c>
      <c r="H152" s="19">
        <v>2600</v>
      </c>
      <c r="I152" s="19"/>
      <c r="J152" s="19"/>
      <c r="K152" s="19">
        <v>0</v>
      </c>
      <c r="L152" s="19"/>
      <c r="M152" s="19"/>
      <c r="N152" s="3">
        <v>4800</v>
      </c>
      <c r="O152" s="21">
        <v>1200</v>
      </c>
      <c r="P152" s="22">
        <v>0</v>
      </c>
      <c r="Q152" s="21">
        <v>245</v>
      </c>
      <c r="R152" s="21"/>
      <c r="S152" s="21">
        <v>720</v>
      </c>
      <c r="T152" s="23">
        <v>0</v>
      </c>
      <c r="U152" s="23"/>
      <c r="V152" s="23"/>
      <c r="W152" s="23"/>
      <c r="X152" s="23"/>
      <c r="Y152" s="24">
        <v>80</v>
      </c>
      <c r="Z152" s="22">
        <v>0</v>
      </c>
      <c r="AA152" s="22"/>
      <c r="AB152" s="23"/>
      <c r="AC152" s="19">
        <v>330</v>
      </c>
      <c r="AD152" s="40">
        <v>0</v>
      </c>
      <c r="AE152" s="40"/>
      <c r="AF152" s="27"/>
      <c r="AG152" s="27">
        <v>300</v>
      </c>
      <c r="AH152" s="27">
        <v>1350</v>
      </c>
      <c r="AI152" s="28">
        <v>300</v>
      </c>
      <c r="AJ152" s="28"/>
      <c r="AK152" s="19"/>
      <c r="AL152" s="5">
        <v>-2531.88</v>
      </c>
      <c r="AM152">
        <v>14000</v>
      </c>
      <c r="AN152" s="3">
        <f>SUM(E152:AK152)-AM152+AL152</f>
        <v>12593.12</v>
      </c>
    </row>
    <row r="153" ht="15.75" spans="1:40">
      <c r="A153" s="17" t="s">
        <v>354</v>
      </c>
      <c r="B153" s="18" t="s">
        <v>355</v>
      </c>
      <c r="C153" s="18" t="s">
        <v>57</v>
      </c>
      <c r="D153" s="18" t="s">
        <v>215</v>
      </c>
      <c r="E153" s="19"/>
      <c r="F153" s="20">
        <v>0</v>
      </c>
      <c r="G153" s="19">
        <v>0</v>
      </c>
      <c r="H153" s="19">
        <v>0</v>
      </c>
      <c r="I153" s="19">
        <v>7200</v>
      </c>
      <c r="J153" s="19"/>
      <c r="K153" s="19">
        <v>0</v>
      </c>
      <c r="L153" s="19"/>
      <c r="M153" s="19"/>
      <c r="N153" s="3">
        <v>0</v>
      </c>
      <c r="O153" s="21">
        <v>1800</v>
      </c>
      <c r="P153" s="22">
        <v>600</v>
      </c>
      <c r="Q153" s="21">
        <v>0</v>
      </c>
      <c r="R153" s="21"/>
      <c r="S153" s="21">
        <v>1608</v>
      </c>
      <c r="T153" s="23">
        <v>0</v>
      </c>
      <c r="U153" s="23"/>
      <c r="V153" s="23"/>
      <c r="W153" s="23"/>
      <c r="X153" s="23"/>
      <c r="Y153" s="24">
        <v>800</v>
      </c>
      <c r="Z153" s="22">
        <v>0</v>
      </c>
      <c r="AA153" s="22"/>
      <c r="AB153" s="23"/>
      <c r="AC153" s="19">
        <v>300</v>
      </c>
      <c r="AD153" s="41"/>
      <c r="AE153" s="40"/>
      <c r="AF153" s="27"/>
      <c r="AG153" s="27">
        <v>400</v>
      </c>
      <c r="AH153" s="27">
        <v>1500</v>
      </c>
      <c r="AI153" s="28"/>
      <c r="AJ153" s="28"/>
      <c r="AK153" s="19"/>
      <c r="AL153" s="5">
        <v>-3025.4</v>
      </c>
      <c r="AM153">
        <v>14000</v>
      </c>
      <c r="AN153" s="3">
        <f>SUM(E153:AK153)-AM153+AL153</f>
        <v>-2817.4</v>
      </c>
    </row>
    <row r="154" ht="15.75" spans="1:40">
      <c r="A154" s="17" t="s">
        <v>356</v>
      </c>
      <c r="B154" s="18" t="s">
        <v>357</v>
      </c>
      <c r="C154" s="18" t="s">
        <v>57</v>
      </c>
      <c r="D154" s="18" t="s">
        <v>215</v>
      </c>
      <c r="E154" s="19"/>
      <c r="F154" s="20">
        <v>0</v>
      </c>
      <c r="G154" s="19">
        <v>0</v>
      </c>
      <c r="H154" s="19">
        <v>200</v>
      </c>
      <c r="I154" s="19"/>
      <c r="J154" s="42">
        <v>62200</v>
      </c>
      <c r="K154" s="19">
        <v>0</v>
      </c>
      <c r="L154" s="19"/>
      <c r="M154" s="19"/>
      <c r="N154" s="3">
        <v>0</v>
      </c>
      <c r="O154" s="21">
        <v>1800</v>
      </c>
      <c r="P154" s="22">
        <v>0</v>
      </c>
      <c r="Q154" s="21">
        <v>0</v>
      </c>
      <c r="R154" s="21"/>
      <c r="S154" s="21">
        <v>0</v>
      </c>
      <c r="T154" s="23">
        <v>0</v>
      </c>
      <c r="U154" s="23"/>
      <c r="V154" s="23"/>
      <c r="W154" s="23"/>
      <c r="X154" s="23"/>
      <c r="Y154" s="24">
        <v>0</v>
      </c>
      <c r="Z154" s="22">
        <v>0</v>
      </c>
      <c r="AA154" s="22"/>
      <c r="AB154" s="23"/>
      <c r="AC154" s="19">
        <v>200</v>
      </c>
      <c r="AD154" s="41"/>
      <c r="AE154" s="41"/>
      <c r="AF154" s="27"/>
      <c r="AG154" s="27">
        <v>0</v>
      </c>
      <c r="AH154" s="27">
        <v>750</v>
      </c>
      <c r="AI154" s="28"/>
      <c r="AJ154" s="28"/>
      <c r="AK154" s="19"/>
      <c r="AM154">
        <v>24000</v>
      </c>
      <c r="AN154" s="3">
        <f>SUM(E154:AK154)-AM154+AL154</f>
        <v>41150</v>
      </c>
    </row>
    <row r="155" ht="15.75" spans="1:40">
      <c r="A155" s="17" t="s">
        <v>358</v>
      </c>
      <c r="B155" s="18" t="s">
        <v>359</v>
      </c>
      <c r="C155" s="18" t="s">
        <v>95</v>
      </c>
      <c r="D155" s="18" t="s">
        <v>215</v>
      </c>
      <c r="E155" s="19"/>
      <c r="F155" s="20">
        <v>0</v>
      </c>
      <c r="G155" s="19">
        <v>841.2</v>
      </c>
      <c r="H155" s="19">
        <v>2600</v>
      </c>
      <c r="I155" s="19"/>
      <c r="J155" s="32"/>
      <c r="K155" s="19">
        <v>0</v>
      </c>
      <c r="L155" s="19"/>
      <c r="M155" s="19"/>
      <c r="N155" s="3">
        <v>0</v>
      </c>
      <c r="O155" s="21">
        <v>0</v>
      </c>
      <c r="P155" s="22">
        <v>0</v>
      </c>
      <c r="Q155" s="21">
        <v>70</v>
      </c>
      <c r="R155" s="21"/>
      <c r="S155" s="21">
        <v>0</v>
      </c>
      <c r="T155" s="23">
        <v>0</v>
      </c>
      <c r="U155" s="23"/>
      <c r="V155" s="23"/>
      <c r="W155" s="23"/>
      <c r="X155" s="23"/>
      <c r="Y155" s="24">
        <v>0</v>
      </c>
      <c r="Z155" s="22">
        <v>0</v>
      </c>
      <c r="AA155" s="22"/>
      <c r="AB155" s="23"/>
      <c r="AC155" s="19">
        <v>330</v>
      </c>
      <c r="AD155" s="41"/>
      <c r="AE155" s="41"/>
      <c r="AF155" s="27"/>
      <c r="AG155" s="27">
        <v>0</v>
      </c>
      <c r="AH155" s="27">
        <v>0</v>
      </c>
      <c r="AI155" s="28">
        <v>300</v>
      </c>
      <c r="AJ155" s="28"/>
      <c r="AK155" s="19"/>
      <c r="AM155">
        <v>24000</v>
      </c>
      <c r="AN155" s="3">
        <f>SUM(E155:AK155)-AM155+AL155+52505.05-2000</f>
        <v>30646.25</v>
      </c>
    </row>
    <row r="156" ht="15.75" spans="1:40">
      <c r="A156" s="17" t="s">
        <v>360</v>
      </c>
      <c r="B156" s="18" t="s">
        <v>361</v>
      </c>
      <c r="C156" s="18" t="s">
        <v>102</v>
      </c>
      <c r="D156" s="18" t="s">
        <v>215</v>
      </c>
      <c r="E156" s="19"/>
      <c r="F156" s="20">
        <v>0</v>
      </c>
      <c r="G156" s="19">
        <v>525</v>
      </c>
      <c r="H156" s="19">
        <v>600</v>
      </c>
      <c r="I156" s="19"/>
      <c r="J156" s="18"/>
      <c r="K156" s="19">
        <v>0</v>
      </c>
      <c r="L156" s="19"/>
      <c r="M156" s="19"/>
      <c r="N156" s="3">
        <v>6900</v>
      </c>
      <c r="O156" s="21">
        <v>1800</v>
      </c>
      <c r="P156" s="22">
        <v>600</v>
      </c>
      <c r="Q156" s="21">
        <v>350</v>
      </c>
      <c r="R156" s="21"/>
      <c r="S156" s="21">
        <v>240</v>
      </c>
      <c r="T156" s="23">
        <v>0</v>
      </c>
      <c r="U156" s="23"/>
      <c r="V156" s="23"/>
      <c r="W156" s="23"/>
      <c r="X156" s="23"/>
      <c r="Y156" s="24">
        <v>0</v>
      </c>
      <c r="Z156" s="22">
        <v>0</v>
      </c>
      <c r="AA156" s="22"/>
      <c r="AB156" s="23"/>
      <c r="AC156" s="19">
        <v>550</v>
      </c>
      <c r="AD156" s="41"/>
      <c r="AE156" s="41"/>
      <c r="AF156" s="27"/>
      <c r="AG156" s="27">
        <v>450</v>
      </c>
      <c r="AH156" s="27">
        <v>0</v>
      </c>
      <c r="AI156" s="28">
        <v>300</v>
      </c>
      <c r="AJ156" s="28"/>
      <c r="AK156" s="19"/>
      <c r="AM156">
        <v>24000</v>
      </c>
      <c r="AN156" s="3">
        <f>SUM(E156:AK156)-AM156+AL156</f>
        <v>-11685</v>
      </c>
    </row>
    <row r="157" ht="15.75" spans="1:40">
      <c r="A157" s="17" t="s">
        <v>362</v>
      </c>
      <c r="B157" s="18" t="s">
        <v>363</v>
      </c>
      <c r="C157" s="18" t="s">
        <v>57</v>
      </c>
      <c r="D157" s="18" t="s">
        <v>215</v>
      </c>
      <c r="E157" s="19"/>
      <c r="F157" s="20">
        <v>0</v>
      </c>
      <c r="G157" s="19">
        <v>0</v>
      </c>
      <c r="H157" s="19">
        <v>200</v>
      </c>
      <c r="I157" s="19"/>
      <c r="J157" s="18"/>
      <c r="K157" s="19">
        <v>0</v>
      </c>
      <c r="L157" s="19"/>
      <c r="M157" s="19"/>
      <c r="N157" s="3">
        <v>0</v>
      </c>
      <c r="O157" s="21">
        <v>1200</v>
      </c>
      <c r="P157" s="22">
        <v>0</v>
      </c>
      <c r="Q157" s="21">
        <v>70</v>
      </c>
      <c r="R157" s="21"/>
      <c r="S157" s="21">
        <v>0</v>
      </c>
      <c r="T157" s="23">
        <v>0</v>
      </c>
      <c r="U157" s="23"/>
      <c r="V157" s="23"/>
      <c r="W157" s="23"/>
      <c r="X157" s="23"/>
      <c r="Y157" s="24">
        <v>0</v>
      </c>
      <c r="Z157" s="22">
        <v>0</v>
      </c>
      <c r="AA157" s="22"/>
      <c r="AB157" s="23"/>
      <c r="AC157" s="19">
        <v>350</v>
      </c>
      <c r="AD157" s="41"/>
      <c r="AE157" s="41"/>
      <c r="AF157" s="27"/>
      <c r="AG157" s="27">
        <v>300</v>
      </c>
      <c r="AH157" s="27">
        <v>0</v>
      </c>
      <c r="AI157" s="28"/>
      <c r="AJ157" s="28"/>
      <c r="AK157" s="19"/>
      <c r="AM157">
        <v>31200</v>
      </c>
      <c r="AN157" s="3">
        <f>SUM(E157:AK157)-AM157+AL157</f>
        <v>-29080</v>
      </c>
    </row>
    <row r="158" ht="15.75" spans="1:40">
      <c r="A158" s="17" t="s">
        <v>364</v>
      </c>
      <c r="B158" s="18" t="s">
        <v>365</v>
      </c>
      <c r="C158" s="18" t="s">
        <v>57</v>
      </c>
      <c r="D158" s="18" t="s">
        <v>215</v>
      </c>
      <c r="E158" s="19"/>
      <c r="F158" s="20">
        <v>0</v>
      </c>
      <c r="G158" s="19">
        <v>100</v>
      </c>
      <c r="H158" s="19">
        <v>2600</v>
      </c>
      <c r="I158" s="19"/>
      <c r="J158" s="18"/>
      <c r="K158" s="19">
        <v>0</v>
      </c>
      <c r="L158" s="19"/>
      <c r="M158" s="19"/>
      <c r="N158" s="3">
        <v>0</v>
      </c>
      <c r="O158" s="21">
        <v>1800</v>
      </c>
      <c r="P158" s="22">
        <v>0</v>
      </c>
      <c r="Q158" s="21">
        <v>0</v>
      </c>
      <c r="R158" s="21"/>
      <c r="S158" s="21">
        <v>0</v>
      </c>
      <c r="T158" s="23">
        <v>0</v>
      </c>
      <c r="U158" s="23"/>
      <c r="V158" s="23"/>
      <c r="W158" s="23"/>
      <c r="X158" s="23"/>
      <c r="Y158" s="24">
        <v>0</v>
      </c>
      <c r="Z158" s="22">
        <v>0</v>
      </c>
      <c r="AA158" s="22"/>
      <c r="AB158" s="23"/>
      <c r="AC158" s="19">
        <v>730</v>
      </c>
      <c r="AD158" s="41"/>
      <c r="AE158" s="41"/>
      <c r="AF158" s="27"/>
      <c r="AG158" s="27">
        <v>300</v>
      </c>
      <c r="AH158" s="27">
        <v>0</v>
      </c>
      <c r="AI158" s="28"/>
      <c r="AJ158" s="28"/>
      <c r="AK158" s="19"/>
      <c r="AM158">
        <v>24000</v>
      </c>
      <c r="AN158" s="3">
        <f>SUM(E158:AK158)-AM158+AL158</f>
        <v>-18470</v>
      </c>
    </row>
    <row r="159" ht="15.75" spans="1:40">
      <c r="A159" s="17" t="s">
        <v>366</v>
      </c>
      <c r="B159" s="18" t="s">
        <v>367</v>
      </c>
      <c r="C159" s="18" t="s">
        <v>54</v>
      </c>
      <c r="D159" s="18" t="s">
        <v>215</v>
      </c>
      <c r="E159" s="19">
        <v>1000</v>
      </c>
      <c r="F159" s="20">
        <v>0</v>
      </c>
      <c r="G159" s="19">
        <v>250</v>
      </c>
      <c r="H159" s="19">
        <v>5000</v>
      </c>
      <c r="I159" s="19">
        <v>2500</v>
      </c>
      <c r="J159" s="19"/>
      <c r="K159" s="19">
        <v>0</v>
      </c>
      <c r="L159" s="19"/>
      <c r="M159" s="19"/>
      <c r="N159" s="3">
        <v>4560</v>
      </c>
      <c r="O159" s="21">
        <v>1800</v>
      </c>
      <c r="P159" s="22">
        <v>2400</v>
      </c>
      <c r="Q159" s="21">
        <v>1120</v>
      </c>
      <c r="R159" s="21"/>
      <c r="S159" s="21">
        <v>0</v>
      </c>
      <c r="T159" s="23">
        <v>0</v>
      </c>
      <c r="U159" s="23"/>
      <c r="V159" s="23"/>
      <c r="W159" s="23"/>
      <c r="X159" s="23"/>
      <c r="Y159" s="24">
        <v>0</v>
      </c>
      <c r="Z159" s="22">
        <v>0</v>
      </c>
      <c r="AA159" s="22"/>
      <c r="AB159" s="23"/>
      <c r="AC159" s="19">
        <v>580</v>
      </c>
      <c r="AD159" s="41"/>
      <c r="AE159" s="41"/>
      <c r="AF159" s="27"/>
      <c r="AG159" s="27">
        <v>400</v>
      </c>
      <c r="AH159" s="27">
        <v>1500</v>
      </c>
      <c r="AI159" s="28"/>
      <c r="AJ159" s="28"/>
      <c r="AK159" s="19"/>
      <c r="AM159">
        <v>24000</v>
      </c>
      <c r="AN159" s="3">
        <f>SUM(E159:AK159)-AM159+AL159</f>
        <v>-2890</v>
      </c>
    </row>
    <row r="160" ht="15.75" spans="1:40">
      <c r="A160" s="17" t="s">
        <v>368</v>
      </c>
      <c r="B160" s="18" t="s">
        <v>369</v>
      </c>
      <c r="C160" s="18" t="s">
        <v>54</v>
      </c>
      <c r="D160" s="18" t="s">
        <v>215</v>
      </c>
      <c r="E160" s="19">
        <v>1000</v>
      </c>
      <c r="F160" s="20">
        <v>0</v>
      </c>
      <c r="G160" s="19">
        <v>0</v>
      </c>
      <c r="H160" s="19">
        <v>200</v>
      </c>
      <c r="I160" s="19">
        <v>2500</v>
      </c>
      <c r="J160" s="19"/>
      <c r="K160" s="19">
        <v>0</v>
      </c>
      <c r="L160" s="19"/>
      <c r="M160" s="19"/>
      <c r="N160" s="3">
        <v>0</v>
      </c>
      <c r="O160" s="21">
        <v>1800</v>
      </c>
      <c r="P160" s="22">
        <v>1800</v>
      </c>
      <c r="Q160" s="21">
        <v>770</v>
      </c>
      <c r="R160" s="21"/>
      <c r="S160" s="21">
        <v>0</v>
      </c>
      <c r="T160" s="23">
        <v>0</v>
      </c>
      <c r="U160" s="23"/>
      <c r="V160" s="23"/>
      <c r="W160" s="23"/>
      <c r="X160" s="23"/>
      <c r="Y160" s="24">
        <v>0</v>
      </c>
      <c r="Z160" s="22">
        <v>0</v>
      </c>
      <c r="AA160" s="22"/>
      <c r="AB160" s="23"/>
      <c r="AC160" s="19">
        <v>250</v>
      </c>
      <c r="AD160" s="41"/>
      <c r="AE160" s="41"/>
      <c r="AF160" s="27"/>
      <c r="AG160" s="27">
        <v>300</v>
      </c>
      <c r="AH160" s="27">
        <v>0</v>
      </c>
      <c r="AI160" s="28"/>
      <c r="AJ160" s="28"/>
      <c r="AK160" s="19"/>
      <c r="AM160">
        <v>24000</v>
      </c>
      <c r="AN160" s="3">
        <f>SUM(E160:AK160)-AM160+AL160</f>
        <v>-15380</v>
      </c>
    </row>
    <row r="161" ht="15.75" spans="1:40">
      <c r="A161" s="17" t="s">
        <v>370</v>
      </c>
      <c r="B161" s="18" t="s">
        <v>371</v>
      </c>
      <c r="C161" s="18" t="s">
        <v>57</v>
      </c>
      <c r="D161" s="18" t="s">
        <v>215</v>
      </c>
      <c r="E161" s="19"/>
      <c r="F161" s="20">
        <v>0</v>
      </c>
      <c r="G161" s="19">
        <v>3684</v>
      </c>
      <c r="H161" s="19">
        <v>13400</v>
      </c>
      <c r="I161" s="19">
        <v>2400</v>
      </c>
      <c r="J161" s="33">
        <v>62200</v>
      </c>
      <c r="K161" s="19">
        <v>0</v>
      </c>
      <c r="L161" s="19"/>
      <c r="M161" s="19"/>
      <c r="N161" s="3">
        <v>0</v>
      </c>
      <c r="O161" s="21">
        <v>1800</v>
      </c>
      <c r="P161" s="22">
        <v>0</v>
      </c>
      <c r="Q161" s="21">
        <v>70</v>
      </c>
      <c r="R161" s="21"/>
      <c r="S161" s="21">
        <v>1920</v>
      </c>
      <c r="T161" s="23">
        <v>0</v>
      </c>
      <c r="U161" s="23"/>
      <c r="V161" s="23"/>
      <c r="W161" s="23"/>
      <c r="X161" s="23"/>
      <c r="Y161" s="24">
        <v>400</v>
      </c>
      <c r="Z161" s="22">
        <v>0</v>
      </c>
      <c r="AA161" s="22"/>
      <c r="AB161" s="23"/>
      <c r="AC161" s="19">
        <v>250</v>
      </c>
      <c r="AD161" s="41"/>
      <c r="AE161" s="41"/>
      <c r="AF161" s="27"/>
      <c r="AG161" s="27">
        <v>150</v>
      </c>
      <c r="AH161" s="27">
        <v>1500</v>
      </c>
      <c r="AI161" s="28"/>
      <c r="AJ161" s="28"/>
      <c r="AK161" s="19"/>
      <c r="AM161">
        <v>24000</v>
      </c>
      <c r="AN161" s="3">
        <f>SUM(E161:AK161)-AM161+AL161+2000</f>
        <v>65774</v>
      </c>
    </row>
    <row r="162" ht="15.75" spans="1:40">
      <c r="A162" s="17" t="s">
        <v>372</v>
      </c>
      <c r="B162" s="18" t="s">
        <v>373</v>
      </c>
      <c r="C162" s="18" t="s">
        <v>54</v>
      </c>
      <c r="D162" s="18" t="s">
        <v>215</v>
      </c>
      <c r="E162" s="19"/>
      <c r="F162" s="20">
        <v>0</v>
      </c>
      <c r="G162" s="19">
        <v>150</v>
      </c>
      <c r="H162" s="19">
        <v>200</v>
      </c>
      <c r="I162" s="19"/>
      <c r="J162" s="19"/>
      <c r="K162" s="19">
        <v>500</v>
      </c>
      <c r="L162" s="19"/>
      <c r="M162" s="19"/>
      <c r="N162" s="3">
        <v>4710</v>
      </c>
      <c r="O162" s="21">
        <v>1800</v>
      </c>
      <c r="P162" s="22">
        <v>2400</v>
      </c>
      <c r="Q162" s="21">
        <v>70</v>
      </c>
      <c r="R162" s="21"/>
      <c r="S162" s="21">
        <v>0</v>
      </c>
      <c r="T162" s="23">
        <v>0</v>
      </c>
      <c r="U162" s="23"/>
      <c r="V162" s="23"/>
      <c r="W162" s="23"/>
      <c r="X162" s="23"/>
      <c r="Y162" s="24">
        <v>0</v>
      </c>
      <c r="Z162" s="22">
        <v>0</v>
      </c>
      <c r="AA162" s="22"/>
      <c r="AB162" s="23"/>
      <c r="AC162" s="19">
        <v>380</v>
      </c>
      <c r="AD162" s="41"/>
      <c r="AE162" s="41"/>
      <c r="AF162" s="27"/>
      <c r="AG162" s="27">
        <v>300</v>
      </c>
      <c r="AH162" s="27">
        <v>1500</v>
      </c>
      <c r="AI162" s="28"/>
      <c r="AJ162" s="28"/>
      <c r="AK162" s="19"/>
      <c r="AM162">
        <v>24000</v>
      </c>
      <c r="AN162" s="3">
        <f>SUM(E162:AK162)-AM162+AL162</f>
        <v>-11990</v>
      </c>
    </row>
    <row r="163" ht="15.75" spans="1:40">
      <c r="A163" s="17" t="s">
        <v>374</v>
      </c>
      <c r="B163" s="18" t="s">
        <v>375</v>
      </c>
      <c r="C163" s="18" t="s">
        <v>51</v>
      </c>
      <c r="D163" s="18" t="s">
        <v>215</v>
      </c>
      <c r="E163" s="19"/>
      <c r="F163" s="20">
        <v>0</v>
      </c>
      <c r="G163" s="19">
        <v>925</v>
      </c>
      <c r="H163" s="19">
        <v>5400</v>
      </c>
      <c r="I163" s="19">
        <v>320</v>
      </c>
      <c r="J163" s="19"/>
      <c r="K163" s="19">
        <v>0</v>
      </c>
      <c r="L163" s="19"/>
      <c r="M163" s="19"/>
      <c r="N163" s="3">
        <v>0</v>
      </c>
      <c r="O163" s="21">
        <v>1800</v>
      </c>
      <c r="P163" s="22">
        <v>600</v>
      </c>
      <c r="Q163" s="21">
        <v>175</v>
      </c>
      <c r="R163" s="21"/>
      <c r="S163" s="21">
        <v>340</v>
      </c>
      <c r="T163" s="23">
        <v>0</v>
      </c>
      <c r="U163" s="23"/>
      <c r="V163" s="23"/>
      <c r="W163" s="23"/>
      <c r="X163" s="23"/>
      <c r="Y163" s="24">
        <v>0</v>
      </c>
      <c r="Z163" s="22">
        <v>0</v>
      </c>
      <c r="AA163" s="22"/>
      <c r="AB163" s="23"/>
      <c r="AC163" s="19">
        <v>800</v>
      </c>
      <c r="AD163" s="41"/>
      <c r="AE163" s="41"/>
      <c r="AF163" s="27"/>
      <c r="AG163" s="27">
        <v>200</v>
      </c>
      <c r="AH163" s="27">
        <v>1350</v>
      </c>
      <c r="AI163" s="28"/>
      <c r="AJ163" s="28"/>
      <c r="AK163" s="19"/>
      <c r="AM163">
        <v>24000</v>
      </c>
      <c r="AN163" s="3">
        <f>SUM(E163:AK163)-AM163+AL163</f>
        <v>-12090</v>
      </c>
    </row>
    <row r="178" spans="30:30">
      <c r="AD178" s="43"/>
    </row>
    <row r="179" spans="30:30">
      <c r="AD179" s="43"/>
    </row>
    <row r="180" spans="30:30">
      <c r="AD180" s="43"/>
    </row>
    <row r="181" spans="30:30">
      <c r="AD181" s="43"/>
    </row>
  </sheetData>
  <autoFilter xmlns:etc="http://www.wps.cn/officeDocument/2017/etCustomData" ref="A1:AN163" etc:filterBottomFollowUsedRange="0">
    <sortState ref="A2:AN163">
      <sortCondition ref="D1"/>
    </sortState>
    <extLst/>
  </autoFilter>
  <sortState ref="A2:BA174">
    <sortCondition ref="AN2:AN174"/>
  </sortState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ss</cp:lastModifiedBy>
  <dcterms:created xsi:type="dcterms:W3CDTF">2025-01-03T01:39:00Z</dcterms:created>
  <dcterms:modified xsi:type="dcterms:W3CDTF">2026-01-13T02:41:14Z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EA91EA2BE2C04BBF9BE7B376B46C7530_13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